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conomicasuba-my.sharepoint.com/personal/74es44317904_campus_economicas_uba_ar/Documents/1 UBA/MATERIAS/20 TESINA/Josefina/numeros/"/>
    </mc:Choice>
  </mc:AlternateContent>
  <xr:revisionPtr revIDLastSave="355" documentId="8_{B844D18D-0085-4B7C-9A1C-C4342DFDFEE0}" xr6:coauthVersionLast="47" xr6:coauthVersionMax="47" xr10:uidLastSave="{06C6A72C-AA70-4950-933B-F23CD6A1D394}"/>
  <bookViews>
    <workbookView xWindow="-120" yWindow="-120" windowWidth="29040" windowHeight="15840" activeTab="1" xr2:uid="{E509FDCD-A95D-4847-882C-211C5929BBD4}"/>
  </bookViews>
  <sheets>
    <sheet name="historial_ratios" sheetId="8" r:id="rId1"/>
    <sheet name="constantes" sheetId="6" r:id="rId2"/>
    <sheet name="proyeccion_pob" sheetId="4" r:id="rId3"/>
    <sheet name="tabla_mort" sheetId="3" r:id="rId4"/>
    <sheet name="NDC_25-40_morat" sheetId="9" r:id="rId5"/>
    <sheet name="vector_shock_infor_1" sheetId="10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BASE_DE_DATOS">#REF!</definedName>
    <definedName name="DATOS_CLAE">#REF!</definedName>
    <definedName name="DATOS_CLAE_CLAEDESC">'[1]privado act econ'!$A$2:$A$773</definedName>
    <definedName name="DATOS_CLAE_EDAD">'[1]privado act econ'!$C$2:$C$773</definedName>
    <definedName name="DATOS_CLAE_PERSONAS">'[1]privado act econ'!$D$2:$D$773</definedName>
    <definedName name="DATOS_CLAE_REM2">'[1]privado act econ'!$E$2:$E$773</definedName>
    <definedName name="DATOS_CLAE_SEXO">'[1]privado act econ'!$B$2:$B$773</definedName>
    <definedName name="DATOS_DOC_PROVINCIAS">#REF!</definedName>
    <definedName name="DATOS_DOC_PROVINCIAS_DOC_PROV">#REF!</definedName>
    <definedName name="DATOS_DOC_PROVINCIAS_EDAD">#REF!</definedName>
    <definedName name="DATOS_DOC_PROVINCIAS_PERSONAS">#REF!</definedName>
    <definedName name="DATOS_DOC_PROVINCIAS_REM2">#REF!</definedName>
    <definedName name="DATOS_DOC_PROVINCIAS_SEXO">#REF!</definedName>
    <definedName name="DATOS_PROVINCIAS">#REF!</definedName>
    <definedName name="DATOS_PROVINCIAS_EDAD">'[1]Público pcial'!$C$2:$C$884</definedName>
    <definedName name="DATOS_PROVINCIAS_PERSONAS">'[1]Público pcial'!$D$2:$D$884</definedName>
    <definedName name="DATOS_PROVINCIAS_PROV">'[1]Público pcial'!$A$2:$A$884</definedName>
    <definedName name="DATOS_PROVINCIAS_REM2">'[1]Público pcial'!$E$2:$E$884</definedName>
    <definedName name="DATOS_PROVINCIAS_SEXO">'[1]Público pcial'!$B$2:$B$884</definedName>
    <definedName name="DATOS_RREE">#REF!</definedName>
    <definedName name="DATOS_RREE_EDAD">#REF!</definedName>
    <definedName name="DATOS_RREE_PERSONAS">#REF!</definedName>
    <definedName name="datos_rree_personas2">#REF!</definedName>
    <definedName name="DATOS_RREE_REM2">#REF!</definedName>
    <definedName name="DATOS_RREE_SECTOR">#REF!</definedName>
    <definedName name="DATOS_RREE_SEXO">#REF!</definedName>
    <definedName name="INVA_ESP_2017">'[2]altas 4 (especiales)'!$B$129</definedName>
    <definedName name="INVA_ESP_2018">'[2]altas 4 (especiales)'!$B$67</definedName>
    <definedName name="INVA_ESP_2019">'[2]altas 4 (especiales)'!$B$6</definedName>
    <definedName name="INVA_ESP_2020">'[3]altas 4 (especiales)'!$B$6</definedName>
    <definedName name="INVA_ESP_2021">'[4]altas 4 (especiales)'!$B$6</definedName>
    <definedName name="INVA_ESP_2022">'[5]altas 4 (especiales)'!$B$6</definedName>
    <definedName name="INVA_ESP_2023">'[6]altas 4 (especiales)'!$B$6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2" i="6" l="1"/>
  <c r="B17" i="6"/>
  <c r="B16" i="6"/>
  <c r="B19" i="6" s="1"/>
  <c r="A2" i="8" l="1" a="1"/>
  <c r="A2" i="8" s="1"/>
  <c r="AF4" i="9" l="1"/>
  <c r="AE4" i="9"/>
  <c r="AD4" i="9"/>
  <c r="AC4" i="9"/>
  <c r="AB4" i="9"/>
  <c r="AA4" i="9"/>
  <c r="Z4" i="9"/>
  <c r="Y4" i="9"/>
  <c r="X4" i="9"/>
  <c r="W4" i="9"/>
  <c r="V4" i="9"/>
  <c r="U4" i="9"/>
  <c r="T4" i="9"/>
  <c r="S4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4" i="9"/>
  <c r="R3" i="9"/>
  <c r="R2" i="9"/>
  <c r="Q2" i="9"/>
  <c r="B68" i="9"/>
  <c r="B67" i="9"/>
  <c r="B63" i="9"/>
  <c r="B62" i="9"/>
  <c r="B61" i="9"/>
  <c r="B3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Q13" i="9"/>
  <c r="Q16" i="9" s="1"/>
  <c r="P13" i="9"/>
  <c r="O13" i="9"/>
  <c r="N13" i="9"/>
  <c r="N16" i="9" s="1"/>
  <c r="M13" i="9"/>
  <c r="M16" i="9" s="1"/>
  <c r="L13" i="9"/>
  <c r="K13" i="9"/>
  <c r="J13" i="9"/>
  <c r="J16" i="9" s="1"/>
  <c r="I13" i="9"/>
  <c r="I16" i="9" s="1"/>
  <c r="H13" i="9"/>
  <c r="G13" i="9"/>
  <c r="F13" i="9"/>
  <c r="F16" i="9" s="1"/>
  <c r="E13" i="9"/>
  <c r="D13" i="9"/>
  <c r="C13" i="9"/>
  <c r="B13" i="9"/>
  <c r="B16" i="9" s="1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Q8" i="9"/>
  <c r="Q56" i="9" s="1"/>
  <c r="Q57" i="9" s="1"/>
  <c r="P8" i="9"/>
  <c r="P56" i="9" s="1"/>
  <c r="P57" i="9" s="1"/>
  <c r="O8" i="9"/>
  <c r="O56" i="9" s="1"/>
  <c r="O57" i="9" s="1"/>
  <c r="N8" i="9"/>
  <c r="N56" i="9" s="1"/>
  <c r="N57" i="9" s="1"/>
  <c r="M8" i="9"/>
  <c r="M56" i="9" s="1"/>
  <c r="M57" i="9" s="1"/>
  <c r="L8" i="9"/>
  <c r="L56" i="9" s="1"/>
  <c r="L57" i="9" s="1"/>
  <c r="K8" i="9"/>
  <c r="K56" i="9" s="1"/>
  <c r="K57" i="9" s="1"/>
  <c r="J8" i="9"/>
  <c r="J56" i="9" s="1"/>
  <c r="J57" i="9" s="1"/>
  <c r="I8" i="9"/>
  <c r="I56" i="9" s="1"/>
  <c r="I57" i="9" s="1"/>
  <c r="H8" i="9"/>
  <c r="H56" i="9" s="1"/>
  <c r="H57" i="9" s="1"/>
  <c r="G8" i="9"/>
  <c r="G56" i="9" s="1"/>
  <c r="G57" i="9" s="1"/>
  <c r="F8" i="9"/>
  <c r="F56" i="9" s="1"/>
  <c r="F57" i="9" s="1"/>
  <c r="E8" i="9"/>
  <c r="E56" i="9" s="1"/>
  <c r="E57" i="9" s="1"/>
  <c r="D8" i="9"/>
  <c r="D56" i="9" s="1"/>
  <c r="D57" i="9" s="1"/>
  <c r="C8" i="9"/>
  <c r="C56" i="9" s="1"/>
  <c r="C57" i="9" s="1"/>
  <c r="B8" i="9"/>
  <c r="B56" i="9" s="1"/>
  <c r="B57" i="9" s="1"/>
  <c r="Q7" i="9"/>
  <c r="Q11" i="9" s="1"/>
  <c r="P7" i="9"/>
  <c r="P11" i="9" s="1"/>
  <c r="O7" i="9"/>
  <c r="O11" i="9" s="1"/>
  <c r="N7" i="9"/>
  <c r="M7" i="9"/>
  <c r="M11" i="9" s="1"/>
  <c r="L7" i="9"/>
  <c r="L11" i="9" s="1"/>
  <c r="K7" i="9"/>
  <c r="K10" i="9" s="1"/>
  <c r="J7" i="9"/>
  <c r="J11" i="9" s="1"/>
  <c r="I7" i="9"/>
  <c r="I11" i="9" s="1"/>
  <c r="H7" i="9"/>
  <c r="H11" i="9" s="1"/>
  <c r="G7" i="9"/>
  <c r="G10" i="9" s="1"/>
  <c r="F7" i="9"/>
  <c r="F10" i="9" s="1"/>
  <c r="E7" i="9"/>
  <c r="E11" i="9" s="1"/>
  <c r="D7" i="9"/>
  <c r="D11" i="9" s="1"/>
  <c r="C7" i="9"/>
  <c r="C11" i="9" s="1"/>
  <c r="B7" i="9"/>
  <c r="B11" i="9" s="1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Q3" i="9"/>
  <c r="P3" i="9"/>
  <c r="O3" i="9"/>
  <c r="N3" i="9"/>
  <c r="M3" i="9"/>
  <c r="M14" i="9" s="1"/>
  <c r="L3" i="9"/>
  <c r="K3" i="9"/>
  <c r="J3" i="9"/>
  <c r="I3" i="9"/>
  <c r="I14" i="9" s="1"/>
  <c r="H3" i="9"/>
  <c r="G3" i="9"/>
  <c r="F3" i="9"/>
  <c r="E3" i="9"/>
  <c r="E14" i="9" s="1"/>
  <c r="D3" i="9"/>
  <c r="D14" i="9" s="1"/>
  <c r="C3" i="9"/>
  <c r="B3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R6" i="9"/>
  <c r="AC57" i="9"/>
  <c r="N11" i="9" l="1"/>
  <c r="S6" i="9"/>
  <c r="T6" i="9" s="1"/>
  <c r="U6" i="9" s="1"/>
  <c r="V6" i="9" s="1"/>
  <c r="W6" i="9" s="1"/>
  <c r="X6" i="9" s="1"/>
  <c r="Y6" i="9" s="1"/>
  <c r="Z6" i="9" s="1"/>
  <c r="AA6" i="9" s="1"/>
  <c r="AB6" i="9" s="1"/>
  <c r="AC6" i="9" s="1"/>
  <c r="R57" i="9"/>
  <c r="V57" i="9"/>
  <c r="Z57" i="9"/>
  <c r="AD57" i="9"/>
  <c r="S57" i="9"/>
  <c r="W57" i="9"/>
  <c r="AA57" i="9"/>
  <c r="AE57" i="9"/>
  <c r="T57" i="9"/>
  <c r="X57" i="9"/>
  <c r="AB57" i="9"/>
  <c r="AF57" i="9"/>
  <c r="U57" i="9"/>
  <c r="Y57" i="9"/>
  <c r="S8" i="9"/>
  <c r="W8" i="9"/>
  <c r="AA8" i="9"/>
  <c r="AE8" i="9"/>
  <c r="T8" i="9"/>
  <c r="X8" i="9"/>
  <c r="AB8" i="9"/>
  <c r="AF8" i="9"/>
  <c r="U8" i="9"/>
  <c r="Y8" i="9"/>
  <c r="AC8" i="9"/>
  <c r="V8" i="9"/>
  <c r="Z8" i="9"/>
  <c r="AD8" i="9"/>
  <c r="E5" i="9"/>
  <c r="I5" i="9"/>
  <c r="M5" i="9"/>
  <c r="Q5" i="9"/>
  <c r="B5" i="9"/>
  <c r="J5" i="9"/>
  <c r="N5" i="9"/>
  <c r="C5" i="9"/>
  <c r="O5" i="9"/>
  <c r="C14" i="9"/>
  <c r="G14" i="9"/>
  <c r="R8" i="9"/>
  <c r="F44" i="9"/>
  <c r="G44" i="9"/>
  <c r="K44" i="9"/>
  <c r="E9" i="9"/>
  <c r="I9" i="9"/>
  <c r="M9" i="9"/>
  <c r="Q9" i="9"/>
  <c r="E10" i="9"/>
  <c r="I10" i="9"/>
  <c r="M10" i="9"/>
  <c r="Q10" i="9"/>
  <c r="F11" i="9"/>
  <c r="F5" i="9" s="1"/>
  <c r="K11" i="9"/>
  <c r="K5" i="9" s="1"/>
  <c r="O14" i="9"/>
  <c r="G16" i="9"/>
  <c r="G17" i="9" s="1"/>
  <c r="B17" i="9"/>
  <c r="M17" i="9"/>
  <c r="B9" i="9"/>
  <c r="F9" i="9"/>
  <c r="J9" i="9"/>
  <c r="N9" i="9"/>
  <c r="B10" i="9"/>
  <c r="J10" i="9"/>
  <c r="N10" i="9"/>
  <c r="G11" i="9"/>
  <c r="G5" i="9" s="1"/>
  <c r="D16" i="9"/>
  <c r="H16" i="9"/>
  <c r="H17" i="9" s="1"/>
  <c r="L16" i="9"/>
  <c r="P16" i="9"/>
  <c r="P17" i="9" s="1"/>
  <c r="K14" i="9"/>
  <c r="P14" i="9"/>
  <c r="C16" i="9"/>
  <c r="I17" i="9"/>
  <c r="N17" i="9"/>
  <c r="C9" i="9"/>
  <c r="G9" i="9"/>
  <c r="K9" i="9"/>
  <c r="O9" i="9"/>
  <c r="C10" i="9"/>
  <c r="O10" i="9"/>
  <c r="L14" i="9"/>
  <c r="Q14" i="9"/>
  <c r="E16" i="9"/>
  <c r="O16" i="9"/>
  <c r="O17" i="9" s="1"/>
  <c r="J17" i="9"/>
  <c r="D5" i="9"/>
  <c r="H5" i="9"/>
  <c r="L5" i="9"/>
  <c r="P5" i="9"/>
  <c r="D9" i="9"/>
  <c r="H9" i="9"/>
  <c r="L9" i="9"/>
  <c r="P9" i="9"/>
  <c r="D10" i="9"/>
  <c r="H10" i="9"/>
  <c r="L10" i="9"/>
  <c r="P10" i="9"/>
  <c r="B14" i="9"/>
  <c r="F14" i="9"/>
  <c r="J14" i="9"/>
  <c r="N14" i="9"/>
  <c r="H14" i="9"/>
  <c r="K16" i="9"/>
  <c r="Q17" i="9"/>
  <c r="F17" i="9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D2" i="3" a="1"/>
  <c r="D2" i="3" s="1"/>
  <c r="AD6" i="9" l="1"/>
  <c r="N44" i="9"/>
  <c r="P44" i="9"/>
  <c r="J44" i="9"/>
  <c r="E44" i="9"/>
  <c r="L44" i="9"/>
  <c r="L17" i="9"/>
  <c r="D17" i="9"/>
  <c r="B44" i="9"/>
  <c r="Q44" i="9"/>
  <c r="D44" i="9"/>
  <c r="C44" i="9"/>
  <c r="I44" i="9"/>
  <c r="H44" i="9"/>
  <c r="O44" i="9"/>
  <c r="C17" i="9"/>
  <c r="M44" i="9"/>
  <c r="K17" i="9"/>
  <c r="E17" i="9"/>
  <c r="AE6" i="9" l="1"/>
  <c r="AF6" i="9" l="1"/>
  <c r="B6" i="6" l="1"/>
  <c r="B7" i="6"/>
  <c r="B5" i="6"/>
  <c r="AE24" i="9" l="1"/>
  <c r="H24" i="9"/>
  <c r="H25" i="9" s="1"/>
  <c r="AB24" i="9"/>
  <c r="I24" i="9"/>
  <c r="I25" i="9" s="1"/>
  <c r="AC24" i="9"/>
  <c r="B24" i="9"/>
  <c r="B25" i="9" s="1"/>
  <c r="R24" i="9"/>
  <c r="Z24" i="9"/>
  <c r="K24" i="9"/>
  <c r="K25" i="9" s="1"/>
  <c r="L24" i="9"/>
  <c r="L25" i="9" s="1"/>
  <c r="AF24" i="9"/>
  <c r="M24" i="9"/>
  <c r="M25" i="9" s="1"/>
  <c r="F24" i="9"/>
  <c r="F25" i="9" s="1"/>
  <c r="AD24" i="9"/>
  <c r="O24" i="9"/>
  <c r="O25" i="9" s="1"/>
  <c r="S24" i="9"/>
  <c r="P24" i="9"/>
  <c r="P25" i="9" s="1"/>
  <c r="T24" i="9"/>
  <c r="Q24" i="9"/>
  <c r="Q25" i="9" s="1"/>
  <c r="U24" i="9"/>
  <c r="C24" i="9"/>
  <c r="C25" i="9" s="1"/>
  <c r="W24" i="9"/>
  <c r="D24" i="9"/>
  <c r="D25" i="9" s="1"/>
  <c r="X24" i="9"/>
  <c r="E24" i="9"/>
  <c r="E25" i="9" s="1"/>
  <c r="Y24" i="9"/>
  <c r="N24" i="9"/>
  <c r="N25" i="9" s="1"/>
  <c r="V24" i="9"/>
  <c r="G24" i="9"/>
  <c r="G25" i="9" s="1"/>
  <c r="AA24" i="9"/>
  <c r="J24" i="9"/>
  <c r="J25" i="9" s="1"/>
  <c r="AC15" i="9"/>
  <c r="Z15" i="9"/>
  <c r="W15" i="9"/>
  <c r="T15" i="9"/>
  <c r="U15" i="9"/>
  <c r="AD15" i="9"/>
  <c r="AA15" i="9"/>
  <c r="X15" i="9"/>
  <c r="Y15" i="9"/>
  <c r="R15" i="9"/>
  <c r="AE15" i="9"/>
  <c r="AB15" i="9"/>
  <c r="V15" i="9"/>
  <c r="S15" i="9"/>
  <c r="AF15" i="9"/>
  <c r="AC26" i="9"/>
  <c r="AD26" i="9"/>
  <c r="AE26" i="9"/>
  <c r="AB26" i="9"/>
  <c r="U26" i="9"/>
  <c r="S26" i="9"/>
  <c r="AF26" i="9"/>
  <c r="R26" i="9"/>
  <c r="Y26" i="9"/>
  <c r="V26" i="9"/>
  <c r="W26" i="9"/>
  <c r="T26" i="9"/>
  <c r="Z26" i="9"/>
  <c r="AA26" i="9"/>
  <c r="X26" i="9"/>
  <c r="B9" i="6"/>
  <c r="B8" i="6"/>
  <c r="AE29" i="9" l="1"/>
  <c r="G29" i="9"/>
  <c r="AF29" i="9"/>
  <c r="H29" i="9"/>
  <c r="Q29" i="9"/>
  <c r="AD29" i="9"/>
  <c r="J29" i="9"/>
  <c r="AA29" i="9"/>
  <c r="K29" i="9"/>
  <c r="T29" i="9"/>
  <c r="L29" i="9"/>
  <c r="U29" i="9"/>
  <c r="E29" i="9"/>
  <c r="N29" i="9"/>
  <c r="O29" i="9"/>
  <c r="X29" i="9"/>
  <c r="P29" i="9"/>
  <c r="Y29" i="9"/>
  <c r="I29" i="9"/>
  <c r="V29" i="9"/>
  <c r="B29" i="9"/>
  <c r="R29" i="9"/>
  <c r="S29" i="9"/>
  <c r="C29" i="9"/>
  <c r="AB29" i="9"/>
  <c r="D29" i="9"/>
  <c r="AC29" i="9"/>
  <c r="M29" i="9"/>
  <c r="Z29" i="9"/>
  <c r="F29" i="9"/>
  <c r="W29" i="9"/>
  <c r="I27" i="9"/>
  <c r="I28" i="9" s="1"/>
  <c r="I23" i="9"/>
  <c r="AE18" i="9"/>
  <c r="G18" i="9"/>
  <c r="AB18" i="9"/>
  <c r="H18" i="9"/>
  <c r="Y18" i="9"/>
  <c r="Q18" i="9"/>
  <c r="V18" i="9"/>
  <c r="J18" i="9"/>
  <c r="AA18" i="9"/>
  <c r="K18" i="9"/>
  <c r="AF18" i="9"/>
  <c r="L18" i="9"/>
  <c r="AC18" i="9"/>
  <c r="E18" i="9"/>
  <c r="Z18" i="9"/>
  <c r="N18" i="9"/>
  <c r="O18" i="9"/>
  <c r="T18" i="9"/>
  <c r="R18" i="9"/>
  <c r="P18" i="9"/>
  <c r="I18" i="9"/>
  <c r="AD18" i="9"/>
  <c r="B18" i="9"/>
  <c r="S18" i="9"/>
  <c r="C18" i="9"/>
  <c r="X18" i="9"/>
  <c r="D18" i="9"/>
  <c r="U18" i="9"/>
  <c r="M18" i="9"/>
  <c r="F18" i="9"/>
  <c r="W18" i="9"/>
  <c r="J23" i="9"/>
  <c r="J27" i="9"/>
  <c r="J28" i="9" s="1"/>
  <c r="N23" i="9"/>
  <c r="N27" i="9"/>
  <c r="N28" i="9" s="1"/>
  <c r="D27" i="9"/>
  <c r="D28" i="9" s="1"/>
  <c r="D23" i="9"/>
  <c r="Q27" i="9"/>
  <c r="Q28" i="9" s="1"/>
  <c r="Q23" i="9"/>
  <c r="O23" i="9"/>
  <c r="O27" i="9"/>
  <c r="O28" i="9" s="1"/>
  <c r="L27" i="9"/>
  <c r="L28" i="9" s="1"/>
  <c r="L23" i="9"/>
  <c r="B27" i="9"/>
  <c r="B28" i="9" s="1"/>
  <c r="B23" i="9"/>
  <c r="H27" i="9"/>
  <c r="H28" i="9" s="1"/>
  <c r="H23" i="9"/>
  <c r="M27" i="9"/>
  <c r="M28" i="9" s="1"/>
  <c r="M23" i="9"/>
  <c r="G23" i="9"/>
  <c r="G27" i="9"/>
  <c r="G28" i="9" s="1"/>
  <c r="E23" i="9"/>
  <c r="E27" i="9"/>
  <c r="E28" i="9" s="1"/>
  <c r="C27" i="9"/>
  <c r="C28" i="9" s="1"/>
  <c r="C23" i="9"/>
  <c r="P27" i="9"/>
  <c r="P28" i="9" s="1"/>
  <c r="P23" i="9"/>
  <c r="F23" i="9"/>
  <c r="F27" i="9"/>
  <c r="F28" i="9" s="1"/>
  <c r="K23" i="9"/>
  <c r="K27" i="9"/>
  <c r="K28" i="9" s="1"/>
  <c r="B2" i="6"/>
  <c r="B3" i="6"/>
  <c r="AE14" i="9" l="1"/>
  <c r="AE13" i="9" s="1"/>
  <c r="AE16" i="9" s="1"/>
  <c r="AE17" i="9" s="1"/>
  <c r="X14" i="9"/>
  <c r="X13" i="9" s="1"/>
  <c r="X16" i="9" s="1"/>
  <c r="X17" i="9" s="1"/>
  <c r="U14" i="9"/>
  <c r="U13" i="9" s="1"/>
  <c r="U16" i="9" s="1"/>
  <c r="U17" i="9" s="1"/>
  <c r="AB14" i="9"/>
  <c r="AB13" i="9" s="1"/>
  <c r="AB16" i="9" s="1"/>
  <c r="AB17" i="9" s="1"/>
  <c r="R14" i="9"/>
  <c r="R13" i="9" s="1"/>
  <c r="Y14" i="9"/>
  <c r="Y13" i="9" s="1"/>
  <c r="Y16" i="9" s="1"/>
  <c r="Y17" i="9" s="1"/>
  <c r="V14" i="9"/>
  <c r="V13" i="9" s="1"/>
  <c r="V16" i="9" s="1"/>
  <c r="V17" i="9" s="1"/>
  <c r="S14" i="9"/>
  <c r="S13" i="9" s="1"/>
  <c r="S16" i="9" s="1"/>
  <c r="S17" i="9" s="1"/>
  <c r="AF14" i="9"/>
  <c r="AF13" i="9" s="1"/>
  <c r="AF16" i="9" s="1"/>
  <c r="AF17" i="9" s="1"/>
  <c r="AC14" i="9"/>
  <c r="AC13" i="9" s="1"/>
  <c r="AC16" i="9" s="1"/>
  <c r="AC17" i="9" s="1"/>
  <c r="Z14" i="9"/>
  <c r="Z13" i="9" s="1"/>
  <c r="Z16" i="9" s="1"/>
  <c r="Z17" i="9" s="1"/>
  <c r="W14" i="9"/>
  <c r="W13" i="9" s="1"/>
  <c r="W16" i="9" s="1"/>
  <c r="W17" i="9" s="1"/>
  <c r="T14" i="9"/>
  <c r="T13" i="9" s="1"/>
  <c r="T16" i="9" s="1"/>
  <c r="T17" i="9" s="1"/>
  <c r="AD14" i="9"/>
  <c r="AD13" i="9" s="1"/>
  <c r="AD16" i="9" s="1"/>
  <c r="AD17" i="9" s="1"/>
  <c r="AA14" i="9"/>
  <c r="AA13" i="9" s="1"/>
  <c r="AA16" i="9" s="1"/>
  <c r="AA17" i="9" s="1"/>
  <c r="AC5" i="9"/>
  <c r="AB5" i="9"/>
  <c r="AA5" i="9"/>
  <c r="Z5" i="9"/>
  <c r="Y5" i="9"/>
  <c r="X5" i="9"/>
  <c r="W5" i="9"/>
  <c r="V5" i="9"/>
  <c r="U5" i="9"/>
  <c r="T5" i="9"/>
  <c r="S5" i="9"/>
  <c r="R5" i="9"/>
  <c r="AF5" i="9"/>
  <c r="AE5" i="9"/>
  <c r="AD5" i="9"/>
  <c r="AF11" i="9" l="1"/>
  <c r="AF7" i="9"/>
  <c r="AF10" i="9" s="1"/>
  <c r="AF44" i="9" s="1"/>
  <c r="R11" i="9"/>
  <c r="R7" i="9"/>
  <c r="R10" i="9" s="1"/>
  <c r="R44" i="9" s="1"/>
  <c r="V11" i="9"/>
  <c r="V7" i="9"/>
  <c r="V10" i="9" s="1"/>
  <c r="V44" i="9" s="1"/>
  <c r="Z11" i="9"/>
  <c r="Z7" i="9"/>
  <c r="Z10" i="9" s="1"/>
  <c r="Z44" i="9" s="1"/>
  <c r="Y7" i="9"/>
  <c r="Y10" i="9" s="1"/>
  <c r="Y44" i="9" s="1"/>
  <c r="Y11" i="9"/>
  <c r="AC11" i="9"/>
  <c r="AC7" i="9"/>
  <c r="AC10" i="9" s="1"/>
  <c r="AC44" i="9" s="1"/>
  <c r="AD11" i="9"/>
  <c r="AD7" i="9"/>
  <c r="AD10" i="9" s="1"/>
  <c r="AD44" i="9" s="1"/>
  <c r="S7" i="9"/>
  <c r="S10" i="9" s="1"/>
  <c r="S44" i="9" s="1"/>
  <c r="S11" i="9"/>
  <c r="W11" i="9"/>
  <c r="W7" i="9"/>
  <c r="W10" i="9" s="1"/>
  <c r="W44" i="9" s="1"/>
  <c r="AA11" i="9"/>
  <c r="AA7" i="9"/>
  <c r="AA10" i="9" s="1"/>
  <c r="AA44" i="9" s="1"/>
  <c r="U7" i="9"/>
  <c r="U10" i="9" s="1"/>
  <c r="U44" i="9" s="1"/>
  <c r="U11" i="9"/>
  <c r="AE11" i="9"/>
  <c r="AE7" i="9"/>
  <c r="AE10" i="9" s="1"/>
  <c r="AE44" i="9" s="1"/>
  <c r="T11" i="9"/>
  <c r="T7" i="9"/>
  <c r="T10" i="9" s="1"/>
  <c r="T44" i="9" s="1"/>
  <c r="X11" i="9"/>
  <c r="X7" i="9"/>
  <c r="X10" i="9" s="1"/>
  <c r="X44" i="9" s="1"/>
  <c r="AB11" i="9"/>
  <c r="AB7" i="9"/>
  <c r="AB10" i="9" s="1"/>
  <c r="AB44" i="9" s="1"/>
  <c r="R16" i="9"/>
  <c r="R17" i="9"/>
  <c r="B4" i="6" l="1"/>
  <c r="Y23" i="9" l="1"/>
  <c r="Y25" i="9" s="1"/>
  <c r="Y27" i="9" s="1"/>
  <c r="Y28" i="9" s="1"/>
  <c r="X23" i="9"/>
  <c r="X25" i="9" s="1"/>
  <c r="X27" i="9" s="1"/>
  <c r="X28" i="9" s="1"/>
  <c r="AA23" i="9"/>
  <c r="AA25" i="9" s="1"/>
  <c r="AA27" i="9" s="1"/>
  <c r="AA28" i="9" s="1"/>
  <c r="Z23" i="9"/>
  <c r="Z25" i="9" s="1"/>
  <c r="Z27" i="9" s="1"/>
  <c r="Z28" i="9" s="1"/>
  <c r="U23" i="9"/>
  <c r="U25" i="9" s="1"/>
  <c r="U27" i="9" s="1"/>
  <c r="U28" i="9" s="1"/>
  <c r="T23" i="9"/>
  <c r="T25" i="9" s="1"/>
  <c r="T27" i="9" s="1"/>
  <c r="T28" i="9" s="1"/>
  <c r="W23" i="9"/>
  <c r="W25" i="9" s="1"/>
  <c r="W27" i="9" s="1"/>
  <c r="W28" i="9" s="1"/>
  <c r="V23" i="9"/>
  <c r="V25" i="9" s="1"/>
  <c r="V27" i="9" s="1"/>
  <c r="V28" i="9" s="1"/>
  <c r="AF23" i="9"/>
  <c r="AF25" i="9" s="1"/>
  <c r="AF27" i="9" s="1"/>
  <c r="AF28" i="9" s="1"/>
  <c r="R23" i="9"/>
  <c r="R25" i="9" s="1"/>
  <c r="S23" i="9"/>
  <c r="S25" i="9" s="1"/>
  <c r="S27" i="9" s="1"/>
  <c r="S28" i="9" s="1"/>
  <c r="AC23" i="9"/>
  <c r="AC25" i="9" s="1"/>
  <c r="AC27" i="9" s="1"/>
  <c r="AC28" i="9" s="1"/>
  <c r="AB23" i="9"/>
  <c r="AB25" i="9" s="1"/>
  <c r="AB27" i="9" s="1"/>
  <c r="AB28" i="9" s="1"/>
  <c r="AE23" i="9"/>
  <c r="AE25" i="9" s="1"/>
  <c r="AE27" i="9" s="1"/>
  <c r="AE28" i="9" s="1"/>
  <c r="AD23" i="9"/>
  <c r="AD25" i="9" s="1"/>
  <c r="AD27" i="9" s="1"/>
  <c r="AD28" i="9" s="1"/>
  <c r="R27" i="9" l="1"/>
  <c r="R28" i="9"/>
  <c r="B64" i="9" l="1"/>
  <c r="B65" i="9"/>
  <c r="B11" i="6" l="1"/>
  <c r="B10" i="6"/>
  <c r="B21" i="6" l="1"/>
  <c r="B20" i="6" l="1"/>
  <c r="B18" i="6" l="1"/>
  <c r="Q19" i="9" l="1"/>
  <c r="G19" i="9"/>
  <c r="L19" i="9"/>
  <c r="N19" i="9"/>
  <c r="M19" i="9"/>
  <c r="C19" i="9"/>
  <c r="H19" i="9"/>
  <c r="I19" i="9"/>
  <c r="F19" i="9"/>
  <c r="D19" i="9"/>
  <c r="B19" i="9"/>
  <c r="E19" i="9"/>
  <c r="P19" i="9"/>
  <c r="O19" i="9"/>
  <c r="J19" i="9"/>
  <c r="K19" i="9"/>
  <c r="K30" i="9" l="1"/>
  <c r="K20" i="9"/>
  <c r="K46" i="9" s="1"/>
  <c r="K50" i="9"/>
  <c r="I50" i="9"/>
  <c r="I20" i="9"/>
  <c r="I46" i="9" s="1"/>
  <c r="I30" i="9"/>
  <c r="O20" i="9"/>
  <c r="O50" i="9"/>
  <c r="O30" i="9"/>
  <c r="O31" i="9" s="1"/>
  <c r="O45" i="9" s="1"/>
  <c r="D20" i="9"/>
  <c r="D46" i="9" s="1"/>
  <c r="D50" i="9"/>
  <c r="D30" i="9"/>
  <c r="C50" i="9"/>
  <c r="C20" i="9"/>
  <c r="C30" i="9"/>
  <c r="C31" i="9" s="1"/>
  <c r="C45" i="9" s="1"/>
  <c r="G50" i="9"/>
  <c r="G20" i="9"/>
  <c r="G46" i="9" s="1"/>
  <c r="G30" i="9"/>
  <c r="E20" i="9"/>
  <c r="E46" i="9" s="1"/>
  <c r="E50" i="9"/>
  <c r="E30" i="9"/>
  <c r="N30" i="9"/>
  <c r="N20" i="9"/>
  <c r="N46" i="9" s="1"/>
  <c r="N50" i="9"/>
  <c r="J20" i="9"/>
  <c r="J46" i="9" s="1"/>
  <c r="J30" i="9"/>
  <c r="J50" i="9"/>
  <c r="B20" i="9"/>
  <c r="B46" i="9" s="1"/>
  <c r="B50" i="9"/>
  <c r="B30" i="9"/>
  <c r="H20" i="9"/>
  <c r="H46" i="9" s="1"/>
  <c r="H30" i="9"/>
  <c r="H50" i="9"/>
  <c r="L30" i="9"/>
  <c r="L20" i="9"/>
  <c r="L46" i="9" s="1"/>
  <c r="L50" i="9"/>
  <c r="P50" i="9"/>
  <c r="P30" i="9"/>
  <c r="P20" i="9"/>
  <c r="P46" i="9" s="1"/>
  <c r="F30" i="9"/>
  <c r="F20" i="9"/>
  <c r="F46" i="9" s="1"/>
  <c r="F50" i="9"/>
  <c r="M50" i="9"/>
  <c r="M20" i="9"/>
  <c r="M30" i="9"/>
  <c r="M31" i="9" s="1"/>
  <c r="M45" i="9" s="1"/>
  <c r="Q50" i="9"/>
  <c r="R19" i="9"/>
  <c r="Q30" i="9"/>
  <c r="Q20" i="9"/>
  <c r="Q46" i="9" s="1"/>
  <c r="F31" i="9" l="1"/>
  <c r="F33" i="9" s="1"/>
  <c r="F45" i="9"/>
  <c r="H31" i="9"/>
  <c r="H33" i="9" s="1"/>
  <c r="H45" i="9"/>
  <c r="D31" i="9"/>
  <c r="D33" i="9" s="1"/>
  <c r="O33" i="9"/>
  <c r="O46" i="9"/>
  <c r="Q31" i="9"/>
  <c r="Q33" i="9" s="1"/>
  <c r="R50" i="9"/>
  <c r="R30" i="9"/>
  <c r="R20" i="9"/>
  <c r="R22" i="9"/>
  <c r="S19" i="9"/>
  <c r="P31" i="9"/>
  <c r="P33" i="9" s="1"/>
  <c r="L31" i="9"/>
  <c r="L33" i="9" s="1"/>
  <c r="L45" i="9"/>
  <c r="B31" i="9"/>
  <c r="B33" i="9" s="1"/>
  <c r="J31" i="9"/>
  <c r="J33" i="9" s="1"/>
  <c r="J45" i="9"/>
  <c r="N31" i="9"/>
  <c r="N33" i="9" s="1"/>
  <c r="G31" i="9"/>
  <c r="G33" i="9" s="1"/>
  <c r="G45" i="9"/>
  <c r="C33" i="9"/>
  <c r="C46" i="9"/>
  <c r="I31" i="9"/>
  <c r="I33" i="9" s="1"/>
  <c r="I45" i="9"/>
  <c r="M33" i="9"/>
  <c r="M46" i="9"/>
  <c r="E31" i="9"/>
  <c r="E33" i="9" s="1"/>
  <c r="E45" i="9"/>
  <c r="K31" i="9"/>
  <c r="K33" i="9" s="1"/>
  <c r="M49" i="9" l="1"/>
  <c r="M35" i="9"/>
  <c r="M38" i="9" s="1"/>
  <c r="P49" i="9"/>
  <c r="P35" i="9"/>
  <c r="P38" i="9" s="1"/>
  <c r="S20" i="9"/>
  <c r="S30" i="9"/>
  <c r="S31" i="9" s="1"/>
  <c r="S45" i="9" s="1"/>
  <c r="S50" i="9"/>
  <c r="T19" i="9"/>
  <c r="O35" i="9"/>
  <c r="O38" i="9" s="1"/>
  <c r="O49" i="9"/>
  <c r="H35" i="9"/>
  <c r="H38" i="9" s="1"/>
  <c r="H49" i="9"/>
  <c r="C49" i="9"/>
  <c r="C35" i="9"/>
  <c r="C38" i="9" s="1"/>
  <c r="B35" i="9"/>
  <c r="B38" i="9" s="1"/>
  <c r="B39" i="9" s="1"/>
  <c r="B49" i="9"/>
  <c r="R31" i="9"/>
  <c r="R32" i="9" s="1"/>
  <c r="R45" i="9"/>
  <c r="E35" i="9"/>
  <c r="E38" i="9" s="1"/>
  <c r="E49" i="9"/>
  <c r="I35" i="9"/>
  <c r="I38" i="9" s="1"/>
  <c r="I49" i="9"/>
  <c r="M53" i="9" s="1"/>
  <c r="G35" i="9"/>
  <c r="G38" i="9" s="1"/>
  <c r="G49" i="9"/>
  <c r="J49" i="9"/>
  <c r="J35" i="9"/>
  <c r="J38" i="9" s="1"/>
  <c r="L49" i="9"/>
  <c r="L35" i="9"/>
  <c r="L38" i="9" s="1"/>
  <c r="Q45" i="9"/>
  <c r="D45" i="9"/>
  <c r="K49" i="9"/>
  <c r="K35" i="9"/>
  <c r="K38" i="9" s="1"/>
  <c r="N35" i="9"/>
  <c r="N38" i="9" s="1"/>
  <c r="N49" i="9"/>
  <c r="K45" i="9"/>
  <c r="N45" i="9"/>
  <c r="B45" i="9"/>
  <c r="P45" i="9"/>
  <c r="R21" i="9"/>
  <c r="R46" i="9"/>
  <c r="Q49" i="9"/>
  <c r="Q35" i="9"/>
  <c r="Q38" i="9" s="1"/>
  <c r="D35" i="9"/>
  <c r="D38" i="9" s="1"/>
  <c r="D49" i="9"/>
  <c r="H53" i="9" s="1"/>
  <c r="F35" i="9"/>
  <c r="F38" i="9" s="1"/>
  <c r="F49" i="9"/>
  <c r="C2" i="8" a="1"/>
  <c r="C2" i="8" s="1"/>
  <c r="R33" i="9" l="1"/>
  <c r="K53" i="9"/>
  <c r="I53" i="9"/>
  <c r="F53" i="9"/>
  <c r="D53" i="9"/>
  <c r="E53" i="9"/>
  <c r="C53" i="9"/>
  <c r="L53" i="9"/>
  <c r="T30" i="9"/>
  <c r="T31" i="9" s="1"/>
  <c r="T45" i="9" s="1"/>
  <c r="U19" i="9"/>
  <c r="T20" i="9"/>
  <c r="T50" i="9"/>
  <c r="J53" i="9"/>
  <c r="O53" i="9"/>
  <c r="P53" i="9"/>
  <c r="B42" i="9"/>
  <c r="B48" i="9" s="1"/>
  <c r="C37" i="9"/>
  <c r="C36" i="9"/>
  <c r="C39" i="9" s="1"/>
  <c r="N53" i="9"/>
  <c r="G53" i="9"/>
  <c r="S33" i="9"/>
  <c r="S46" i="9"/>
  <c r="Q53" i="9"/>
  <c r="U30" i="9" l="1"/>
  <c r="U31" i="9" s="1"/>
  <c r="U45" i="9" s="1"/>
  <c r="V19" i="9"/>
  <c r="U20" i="9"/>
  <c r="U50" i="9"/>
  <c r="D37" i="9"/>
  <c r="C42" i="9"/>
  <c r="C48" i="9" s="1"/>
  <c r="D36" i="9"/>
  <c r="D39" i="9" s="1"/>
  <c r="B53" i="9"/>
  <c r="B52" i="9"/>
  <c r="C52" i="9"/>
  <c r="R35" i="9"/>
  <c r="R38" i="9" s="1"/>
  <c r="R49" i="9"/>
  <c r="S49" i="9"/>
  <c r="S35" i="9"/>
  <c r="S38" i="9" s="1"/>
  <c r="T33" i="9"/>
  <c r="T46" i="9"/>
  <c r="E36" i="9" l="1"/>
  <c r="E39" i="9" s="1"/>
  <c r="D42" i="9"/>
  <c r="D48" i="9" s="1"/>
  <c r="E37" i="9"/>
  <c r="T49" i="9"/>
  <c r="T35" i="9"/>
  <c r="T38" i="9" s="1"/>
  <c r="R53" i="9"/>
  <c r="T53" i="9"/>
  <c r="S53" i="9"/>
  <c r="W19" i="9"/>
  <c r="V30" i="9"/>
  <c r="V20" i="9"/>
  <c r="V46" i="9" s="1"/>
  <c r="V50" i="9"/>
  <c r="U33" i="9"/>
  <c r="U46" i="9"/>
  <c r="U35" i="9" l="1"/>
  <c r="U38" i="9" s="1"/>
  <c r="U49" i="9"/>
  <c r="W30" i="9"/>
  <c r="X19" i="9"/>
  <c r="W50" i="9"/>
  <c r="W20" i="9"/>
  <c r="W46" i="9" s="1"/>
  <c r="D52" i="9"/>
  <c r="F36" i="9"/>
  <c r="F39" i="9" s="1"/>
  <c r="E42" i="9"/>
  <c r="E48" i="9" s="1"/>
  <c r="F37" i="9"/>
  <c r="V31" i="9"/>
  <c r="V33" i="9" s="1"/>
  <c r="V45" i="9"/>
  <c r="F42" i="9" l="1"/>
  <c r="F48" i="9" s="1"/>
  <c r="G36" i="9"/>
  <c r="G39" i="9" s="1"/>
  <c r="G37" i="9"/>
  <c r="U53" i="9"/>
  <c r="W31" i="9"/>
  <c r="W33" i="9" s="1"/>
  <c r="V49" i="9"/>
  <c r="V53" i="9" s="1"/>
  <c r="V35" i="9"/>
  <c r="V38" i="9" s="1"/>
  <c r="E52" i="9"/>
  <c r="X50" i="9"/>
  <c r="X20" i="9"/>
  <c r="X46" i="9" s="1"/>
  <c r="X30" i="9"/>
  <c r="Y19" i="9"/>
  <c r="H36" i="9" l="1"/>
  <c r="H39" i="9" s="1"/>
  <c r="H37" i="9"/>
  <c r="G42" i="9"/>
  <c r="G48" i="9" s="1"/>
  <c r="W35" i="9"/>
  <c r="W38" i="9" s="1"/>
  <c r="W49" i="9"/>
  <c r="W53" i="9" s="1"/>
  <c r="X31" i="9"/>
  <c r="X33" i="9" s="1"/>
  <c r="X45" i="9"/>
  <c r="Z19" i="9"/>
  <c r="Y20" i="9"/>
  <c r="Y30" i="9"/>
  <c r="Y31" i="9" s="1"/>
  <c r="Y45" i="9" s="1"/>
  <c r="Y50" i="9"/>
  <c r="W45" i="9"/>
  <c r="F52" i="9"/>
  <c r="X49" i="9" l="1"/>
  <c r="X53" i="9" s="1"/>
  <c r="X35" i="9"/>
  <c r="X38" i="9" s="1"/>
  <c r="G52" i="9"/>
  <c r="Y33" i="9"/>
  <c r="Y46" i="9"/>
  <c r="Z20" i="9"/>
  <c r="Z46" i="9" s="1"/>
  <c r="AA19" i="9"/>
  <c r="Z50" i="9"/>
  <c r="Z30" i="9"/>
  <c r="H42" i="9"/>
  <c r="H48" i="9" s="1"/>
  <c r="H52" i="9" s="1"/>
  <c r="I37" i="9"/>
  <c r="I36" i="9"/>
  <c r="I39" i="9" s="1"/>
  <c r="AA30" i="9" l="1"/>
  <c r="AB19" i="9"/>
  <c r="AA20" i="9"/>
  <c r="AA46" i="9" s="1"/>
  <c r="AA50" i="9"/>
  <c r="I42" i="9"/>
  <c r="I48" i="9" s="1"/>
  <c r="J36" i="9"/>
  <c r="J39" i="9" s="1"/>
  <c r="J37" i="9"/>
  <c r="Y49" i="9"/>
  <c r="Y53" i="9" s="1"/>
  <c r="Y35" i="9"/>
  <c r="Y38" i="9" s="1"/>
  <c r="Z31" i="9"/>
  <c r="Z33" i="9" s="1"/>
  <c r="Z45" i="9"/>
  <c r="I52" i="9"/>
  <c r="Z49" i="9" l="1"/>
  <c r="Z53" i="9" s="1"/>
  <c r="Z35" i="9"/>
  <c r="Z38" i="9" s="1"/>
  <c r="K37" i="9"/>
  <c r="J42" i="9"/>
  <c r="J48" i="9" s="1"/>
  <c r="K36" i="9"/>
  <c r="K39" i="9" s="1"/>
  <c r="AC19" i="9"/>
  <c r="AB50" i="9"/>
  <c r="AB20" i="9"/>
  <c r="AB46" i="9" s="1"/>
  <c r="AB30" i="9"/>
  <c r="AA31" i="9"/>
  <c r="AA33" i="9" s="1"/>
  <c r="AA45" i="9"/>
  <c r="J52" i="9" l="1"/>
  <c r="AC20" i="9"/>
  <c r="AC46" i="9" s="1"/>
  <c r="AD19" i="9"/>
  <c r="AC50" i="9"/>
  <c r="AC30" i="9"/>
  <c r="AA49" i="9"/>
  <c r="AA53" i="9" s="1"/>
  <c r="AA35" i="9"/>
  <c r="AA38" i="9" s="1"/>
  <c r="AB31" i="9"/>
  <c r="AB33" i="9" s="1"/>
  <c r="AB45" i="9"/>
  <c r="K42" i="9"/>
  <c r="K48" i="9" s="1"/>
  <c r="L37" i="9"/>
  <c r="L36" i="9"/>
  <c r="L39" i="9" s="1"/>
  <c r="AB49" i="9" l="1"/>
  <c r="AB53" i="9" s="1"/>
  <c r="AB35" i="9"/>
  <c r="AB38" i="9" s="1"/>
  <c r="K52" i="9"/>
  <c r="AC31" i="9"/>
  <c r="AC33" i="9" s="1"/>
  <c r="AC45" i="9"/>
  <c r="L42" i="9"/>
  <c r="L48" i="9" s="1"/>
  <c r="M36" i="9"/>
  <c r="M39" i="9" s="1"/>
  <c r="M37" i="9"/>
  <c r="AE19" i="9"/>
  <c r="AD30" i="9"/>
  <c r="AD50" i="9"/>
  <c r="AD20" i="9"/>
  <c r="AD46" i="9" s="1"/>
  <c r="L52" i="9" l="1"/>
  <c r="AE20" i="9"/>
  <c r="AF19" i="9"/>
  <c r="AE50" i="9"/>
  <c r="AE30" i="9"/>
  <c r="AE31" i="9" s="1"/>
  <c r="AE45" i="9" s="1"/>
  <c r="AD31" i="9"/>
  <c r="AD33" i="9" s="1"/>
  <c r="AD45" i="9"/>
  <c r="M42" i="9"/>
  <c r="M48" i="9" s="1"/>
  <c r="N36" i="9"/>
  <c r="N39" i="9" s="1"/>
  <c r="N37" i="9"/>
  <c r="AC49" i="9"/>
  <c r="AC53" i="9" s="1"/>
  <c r="AC35" i="9"/>
  <c r="AC38" i="9" s="1"/>
  <c r="AE33" i="9" l="1"/>
  <c r="AE46" i="9"/>
  <c r="AD35" i="9"/>
  <c r="AD38" i="9" s="1"/>
  <c r="AD49" i="9"/>
  <c r="AD53" i="9" s="1"/>
  <c r="M52" i="9"/>
  <c r="O37" i="9"/>
  <c r="O36" i="9"/>
  <c r="O39" i="9" s="1"/>
  <c r="N42" i="9"/>
  <c r="N48" i="9" s="1"/>
  <c r="AF30" i="9"/>
  <c r="AF20" i="9"/>
  <c r="AF46" i="9" s="1"/>
  <c r="AF50" i="9"/>
  <c r="AE35" i="9" l="1"/>
  <c r="AE38" i="9" s="1"/>
  <c r="AE49" i="9"/>
  <c r="AE53" i="9" s="1"/>
  <c r="P36" i="9"/>
  <c r="P39" i="9" s="1"/>
  <c r="P37" i="9"/>
  <c r="O42" i="9"/>
  <c r="O48" i="9" s="1"/>
  <c r="AF31" i="9"/>
  <c r="AF33" i="9" s="1"/>
  <c r="AF45" i="9"/>
  <c r="N52" i="9"/>
  <c r="O52" i="9" l="1"/>
  <c r="P52" i="9"/>
  <c r="AF35" i="9"/>
  <c r="AF38" i="9" s="1"/>
  <c r="AF49" i="9"/>
  <c r="AF53" i="9" s="1"/>
  <c r="Q36" i="9"/>
  <c r="Q39" i="9" s="1"/>
  <c r="Q37" i="9"/>
  <c r="P42" i="9"/>
  <c r="P48" i="9" s="1"/>
  <c r="Q42" i="9" l="1"/>
  <c r="R36" i="9"/>
  <c r="R39" i="9" s="1"/>
  <c r="R37" i="9"/>
  <c r="S37" i="9" l="1"/>
  <c r="S36" i="9"/>
  <c r="S39" i="9" s="1"/>
  <c r="R42" i="9"/>
  <c r="R48" i="9" s="1"/>
  <c r="Q48" i="9"/>
  <c r="Q59" i="9"/>
  <c r="Q60" i="9" s="1"/>
  <c r="B2" i="8" a="1"/>
  <c r="B2" i="8" s="1"/>
  <c r="B15" i="6"/>
  <c r="S42" i="9" l="1"/>
  <c r="S48" i="9" s="1"/>
  <c r="T37" i="9"/>
  <c r="T36" i="9"/>
  <c r="T39" i="9" s="1"/>
  <c r="R52" i="9"/>
  <c r="R54" i="9" s="1"/>
  <c r="Q52" i="9"/>
  <c r="S52" i="9"/>
  <c r="S54" i="9" s="1"/>
  <c r="T42" i="9" l="1"/>
  <c r="T48" i="9" s="1"/>
  <c r="T52" i="9" s="1"/>
  <c r="T54" i="9" s="1"/>
  <c r="U37" i="9"/>
  <c r="U36" i="9"/>
  <c r="U39" i="9" s="1"/>
  <c r="U42" i="9" l="1"/>
  <c r="U48" i="9" s="1"/>
  <c r="V36" i="9"/>
  <c r="V39" i="9" s="1"/>
  <c r="V37" i="9"/>
  <c r="W37" i="9" l="1"/>
  <c r="W36" i="9"/>
  <c r="W39" i="9" s="1"/>
  <c r="V42" i="9"/>
  <c r="V48" i="9" s="1"/>
  <c r="V52" i="9" s="1"/>
  <c r="V54" i="9" s="1"/>
  <c r="U52" i="9"/>
  <c r="U54" i="9" s="1"/>
  <c r="W42" i="9" l="1"/>
  <c r="W48" i="9" s="1"/>
  <c r="X36" i="9"/>
  <c r="X39" i="9" s="1"/>
  <c r="X37" i="9"/>
  <c r="Y36" i="9" l="1"/>
  <c r="Y39" i="9" s="1"/>
  <c r="Y37" i="9"/>
  <c r="X42" i="9"/>
  <c r="X48" i="9" s="1"/>
  <c r="W52" i="9"/>
  <c r="W54" i="9" s="1"/>
  <c r="X52" i="9" l="1"/>
  <c r="X54" i="9" s="1"/>
  <c r="Z36" i="9"/>
  <c r="Z39" i="9" s="1"/>
  <c r="Y42" i="9"/>
  <c r="Y48" i="9" s="1"/>
  <c r="Z37" i="9"/>
  <c r="AA37" i="9" l="1"/>
  <c r="Z42" i="9"/>
  <c r="Z48" i="9" s="1"/>
  <c r="AA36" i="9"/>
  <c r="AA39" i="9" s="1"/>
  <c r="Y52" i="9"/>
  <c r="Y54" i="9" s="1"/>
  <c r="Z52" i="9" l="1"/>
  <c r="Z54" i="9" s="1"/>
  <c r="AB36" i="9"/>
  <c r="AB39" i="9" s="1"/>
  <c r="AB37" i="9"/>
  <c r="AA42" i="9"/>
  <c r="AA48" i="9" s="1"/>
  <c r="AA52" i="9" s="1"/>
  <c r="AA54" i="9" s="1"/>
  <c r="AC37" i="9" l="1"/>
  <c r="AC36" i="9"/>
  <c r="AC39" i="9" s="1"/>
  <c r="AB42" i="9"/>
  <c r="AB48" i="9" s="1"/>
  <c r="AD36" i="9" l="1"/>
  <c r="AD39" i="9" s="1"/>
  <c r="AC42" i="9"/>
  <c r="AC48" i="9" s="1"/>
  <c r="AC52" i="9" s="1"/>
  <c r="AC54" i="9" s="1"/>
  <c r="AD37" i="9"/>
  <c r="AB52" i="9"/>
  <c r="AB54" i="9" s="1"/>
  <c r="AD42" i="9" l="1"/>
  <c r="AD48" i="9" s="1"/>
  <c r="AE37" i="9"/>
  <c r="AE36" i="9"/>
  <c r="AE39" i="9" s="1"/>
  <c r="AF36" i="9" l="1"/>
  <c r="AF39" i="9" s="1"/>
  <c r="AF42" i="9" s="1"/>
  <c r="AF48" i="9" s="1"/>
  <c r="AF37" i="9"/>
  <c r="AE42" i="9"/>
  <c r="AE48" i="9" s="1"/>
  <c r="AF52" i="9" s="1"/>
  <c r="AF54" i="9" s="1"/>
  <c r="AD52" i="9"/>
  <c r="AD54" i="9" s="1"/>
  <c r="AE52" i="9" l="1"/>
  <c r="AE54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Josefina Esnaola Borbore</author>
  </authors>
  <commentList>
    <comment ref="A3" authorId="0" shapeId="0" xr:uid="{9EB721AE-276F-4067-914D-FACBEBBFC17F}">
      <text>
        <r>
          <rPr>
            <b/>
            <sz val="9"/>
            <color indexed="81"/>
            <rFont val="Tahoma"/>
            <family val="2"/>
          </rPr>
          <t>Josefina Esnaola Borbore:</t>
        </r>
        <r>
          <rPr>
            <sz val="9"/>
            <color indexed="81"/>
            <rFont val="Tahoma"/>
            <family val="2"/>
          </rPr>
          <t xml:space="preserve">
Mujeres+60 y hombre+65</t>
        </r>
      </text>
    </comment>
    <comment ref="A4" authorId="0" shapeId="0" xr:uid="{80171A0C-48E5-466F-9BB6-7DD8403320D9}">
      <text>
        <r>
          <rPr>
            <b/>
            <sz val="9"/>
            <color indexed="81"/>
            <rFont val="Tahoma"/>
            <family val="2"/>
          </rPr>
          <t>Josefina Esnaola Borbore:</t>
        </r>
        <r>
          <rPr>
            <sz val="9"/>
            <color indexed="81"/>
            <rFont val="Tahoma"/>
            <family val="2"/>
          </rPr>
          <t xml:space="preserve">
Personas entre 19 y 65 años
</t>
        </r>
      </text>
    </comment>
    <comment ref="A6" authorId="0" shapeId="0" xr:uid="{775A846B-7EE0-41FD-90DB-96CCBBE7BEBF}">
      <text>
        <r>
          <rPr>
            <b/>
            <sz val="9"/>
            <color indexed="81"/>
            <rFont val="Tahoma"/>
            <family val="2"/>
          </rPr>
          <t>Josefina Esnaola Borbore:</t>
        </r>
        <r>
          <rPr>
            <sz val="9"/>
            <color indexed="81"/>
            <rFont val="Tahoma"/>
            <family val="2"/>
          </rPr>
          <t xml:space="preserve">
No uso de 2010-2025. Uso para proyec en simulación</t>
        </r>
      </text>
    </comment>
    <comment ref="A7" authorId="0" shapeId="0" xr:uid="{49896833-AE88-456F-87AE-5C1A258ED5C4}">
      <text>
        <r>
          <rPr>
            <b/>
            <sz val="9"/>
            <color indexed="81"/>
            <rFont val="Tahoma"/>
            <family val="2"/>
          </rPr>
          <t>Josefina Esnaola Borbore:</t>
        </r>
        <r>
          <rPr>
            <sz val="9"/>
            <color indexed="81"/>
            <rFont val="Tahoma"/>
            <family val="2"/>
          </rPr>
          <t xml:space="preserve">
Aportantes según SIPA Cuadro 1.1.1 C</t>
        </r>
      </text>
    </comment>
    <comment ref="A8" authorId="0" shapeId="0" xr:uid="{EF73D420-8A8F-4CE3-B9D8-B159A4C119DD}">
      <text>
        <r>
          <rPr>
            <b/>
            <sz val="9"/>
            <color indexed="81"/>
            <rFont val="Tahoma"/>
            <family val="2"/>
          </rPr>
          <t>Josefina Esnaola Borbore:</t>
        </r>
        <r>
          <rPr>
            <sz val="9"/>
            <color indexed="81"/>
            <rFont val="Tahoma"/>
            <family val="2"/>
          </rPr>
          <t xml:space="preserve">
SIPA Cuadro 1.1.1C</t>
        </r>
      </text>
    </comment>
    <comment ref="A14" authorId="0" shapeId="0" xr:uid="{8FA50150-435C-43BC-9148-6DABACC5DB36}">
      <text>
        <r>
          <rPr>
            <b/>
            <sz val="9"/>
            <color indexed="81"/>
            <rFont val="Tahoma"/>
            <family val="2"/>
          </rPr>
          <t>Josefina Esnaola Borbore:</t>
        </r>
        <r>
          <rPr>
            <sz val="9"/>
            <color indexed="81"/>
            <rFont val="Tahoma"/>
            <family val="2"/>
          </rPr>
          <t xml:space="preserve">
Para proyeccion</t>
        </r>
      </text>
    </comment>
    <comment ref="B36" authorId="0" shapeId="0" xr:uid="{C061E853-B485-4062-995D-4B4874B4EB34}">
      <text>
        <r>
          <rPr>
            <b/>
            <sz val="9"/>
            <color indexed="81"/>
            <rFont val="Tahoma"/>
            <family val="2"/>
          </rPr>
          <t>Josefina Esnaola Borbore:</t>
        </r>
        <r>
          <rPr>
            <sz val="9"/>
            <color indexed="81"/>
            <rFont val="Tahoma"/>
            <family val="2"/>
          </rPr>
          <t xml:space="preserve">
Fondo de Sustentabilidad y Garantía de Feb 2010 a moneda uniforme mar 2026</t>
        </r>
      </text>
    </comment>
    <comment ref="A38" authorId="0" shapeId="0" xr:uid="{02F3A343-4BA2-4E1D-9843-A65EDC39E2E1}">
      <text>
        <r>
          <rPr>
            <b/>
            <sz val="9"/>
            <color indexed="81"/>
            <rFont val="Tahoma"/>
            <family val="2"/>
          </rPr>
          <t>Josefina Esnaola Borbore:</t>
        </r>
        <r>
          <rPr>
            <sz val="9"/>
            <color indexed="81"/>
            <rFont val="Tahoma"/>
            <family val="2"/>
          </rPr>
          <t xml:space="preserve">
Si hay déficit se paga con el fondo</t>
        </r>
      </text>
    </comment>
    <comment ref="A45" authorId="0" shapeId="0" xr:uid="{A7CECA18-7EE8-4045-BC86-133BD934C0AA}">
      <text>
        <r>
          <rPr>
            <b/>
            <sz val="9"/>
            <color indexed="81"/>
            <rFont val="Tahoma"/>
            <family val="2"/>
          </rPr>
          <t>Josefina Esnaola Borbore:</t>
        </r>
        <r>
          <rPr>
            <sz val="9"/>
            <color indexed="81"/>
            <rFont val="Tahoma"/>
            <family val="2"/>
          </rPr>
          <t xml:space="preserve">
Montos ponderados por cantidad de personas
*12 porque a() anual, monto debe estar anualizado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<sst xmlns="http://schemas.openxmlformats.org/spreadsheetml/2006/main" count="102" uniqueCount="89">
  <si>
    <t>variable</t>
  </si>
  <si>
    <t>valor</t>
  </si>
  <si>
    <t>prop_trabajadores</t>
  </si>
  <si>
    <t>alcance</t>
  </si>
  <si>
    <t>prop_pensionados</t>
  </si>
  <si>
    <t>prop_pensionados_menores</t>
  </si>
  <si>
    <t>propor_pen_morat</t>
  </si>
  <si>
    <t>propor_jub_morat</t>
  </si>
  <si>
    <t>desc_pen_morat</t>
  </si>
  <si>
    <t>desc_jub_morat</t>
  </si>
  <si>
    <t>a_jubilados</t>
  </si>
  <si>
    <t>a_pensionados</t>
  </si>
  <si>
    <t>TD</t>
  </si>
  <si>
    <t>i_fondo</t>
  </si>
  <si>
    <t>edad</t>
  </si>
  <si>
    <t>lx</t>
  </si>
  <si>
    <t>p(x;65-x)</t>
  </si>
  <si>
    <t>p(x;1)</t>
  </si>
  <si>
    <t>INDICE</t>
  </si>
  <si>
    <t>Edad</t>
  </si>
  <si>
    <t>activos</t>
  </si>
  <si>
    <t>pasivos</t>
  </si>
  <si>
    <t>a_jub_extensible</t>
  </si>
  <si>
    <t>sueldo_neto</t>
  </si>
  <si>
    <t>fondo_individuo_2025</t>
  </si>
  <si>
    <t>anio</t>
  </si>
  <si>
    <t>RS</t>
  </si>
  <si>
    <t>RL</t>
  </si>
  <si>
    <t>total_pob</t>
  </si>
  <si>
    <t>t</t>
  </si>
  <si>
    <t>total población</t>
  </si>
  <si>
    <t>aportantes</t>
  </si>
  <si>
    <t>aporte mensual promedio valuado en moneda uniforme mar 26</t>
  </si>
  <si>
    <t>%informalidad</t>
  </si>
  <si>
    <t>aportantes/activos</t>
  </si>
  <si>
    <t>Total aportado</t>
  </si>
  <si>
    <t>trabajadores</t>
  </si>
  <si>
    <t>JUBILACIONES</t>
  </si>
  <si>
    <t>Total jubilados</t>
  </si>
  <si>
    <t>Alcance</t>
  </si>
  <si>
    <t>Jubilados con morat</t>
  </si>
  <si>
    <t>Jubilados sin morat</t>
  </si>
  <si>
    <t>Jubilación NDC con morat</t>
  </si>
  <si>
    <t>Jubilación NDC</t>
  </si>
  <si>
    <t>PENSIONES</t>
  </si>
  <si>
    <t># menores 65 con morat</t>
  </si>
  <si>
    <t># menores 65 sin morat</t>
  </si>
  <si>
    <t>Pensión NDC sin morat</t>
  </si>
  <si>
    <t>Pensión NDC con morat</t>
  </si>
  <si>
    <t>Total beneficios</t>
  </si>
  <si>
    <t>Resultado prev inicial</t>
  </si>
  <si>
    <t>Fondo Acumulado inicio</t>
  </si>
  <si>
    <t>Intereses del fondo</t>
  </si>
  <si>
    <t>Pagado con fondo</t>
  </si>
  <si>
    <t>Fondo Acumulado final</t>
  </si>
  <si>
    <t>Fondo reserva</t>
  </si>
  <si>
    <t>Activos por aportes</t>
  </si>
  <si>
    <t>VP pensiones</t>
  </si>
  <si>
    <t>VP jubilaciones</t>
  </si>
  <si>
    <t>NPW</t>
  </si>
  <si>
    <t>Ratio solvencia</t>
  </si>
  <si>
    <t>Ratio liquidez</t>
  </si>
  <si>
    <t>Tasa de reemplazo</t>
  </si>
  <si>
    <t>Promedio RS ult 5</t>
  </si>
  <si>
    <t>Promedio RL ult 5</t>
  </si>
  <si>
    <t>Sueldo bruto</t>
  </si>
  <si>
    <t>Sueldo neto</t>
  </si>
  <si>
    <t>VS</t>
  </si>
  <si>
    <t>Cuánto plata falta</t>
  </si>
  <si>
    <t>Fondo inicial necesario para solvencia =1</t>
  </si>
  <si>
    <t>% pensionados menores 65</t>
  </si>
  <si>
    <t>% descuento jub con morat</t>
  </si>
  <si>
    <t>% descuento pen con morat</t>
  </si>
  <si>
    <t>a() pensionados</t>
  </si>
  <si>
    <t>a() jubilados</t>
  </si>
  <si>
    <t>edad promedio jub</t>
  </si>
  <si>
    <t>edad promedio aportantes</t>
  </si>
  <si>
    <t>Aporte anual capitalizado hasta hoy, la edad va determinar la cantidad de aportes hechos. Necesito la composición de aportantes para saber cuántos años llevan de aportes</t>
  </si>
  <si>
    <t>prop_jub_morat</t>
  </si>
  <si>
    <t>pensionados_menores</t>
  </si>
  <si>
    <t>ABM</t>
  </si>
  <si>
    <t>Total beneficios jub</t>
  </si>
  <si>
    <t>Total beneficios pen</t>
  </si>
  <si>
    <t>fondo_arg_prom</t>
  </si>
  <si>
    <t>fondo_reserva_0</t>
  </si>
  <si>
    <t>informalidad_0</t>
  </si>
  <si>
    <t>i_nocional_0</t>
  </si>
  <si>
    <t>aporte_NDC_mensual</t>
  </si>
  <si>
    <t>edad_prom_aportante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</si>
</sst>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000_-;\-* #,##0.00000_-;_-* &quot;-&quot;??_-;_-@_-"/>
    <numFmt numFmtId="165" formatCode="_-* #,##0_-;\-* #,##0_-;_-* &quot;-&quot;??_-;_-@_-"/>
    <numFmt numFmtId="166" formatCode="_-&quot;$&quot;\ * #,##0_-;\-&quot;$&quot;\ * #,##0_-;_-&quot;$&quot;\ * &quot;-&quot;??_-;_-@_-"/>
    <numFmt numFmtId="167" formatCode="_-&quot;$&quot;\ * #,##0.0000_-;\-&quot;$&quot;\ * #,##0.0000_-;_-&quot;$&quot;\ * &quot;-&quot;??_-;_-@_-"/>
    <numFmt numFmtId="168" formatCode="_-* #,##0.0000_-;\-* #,##0.0000_-;_-* &quot;-&quot;??_-;_-@_-"/>
    <numFmt numFmtId="169" formatCode="0.0000%"/>
    <numFmt numFmtId="170" formatCode="_-* #,##0.0000_-;\-* #,##0.0000_-;_-* &quot;-&quot;??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u val="singleAccounting"/>
      <sz val="10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center" vertical="center"/>
    </xf>
    <xf numFmtId="0" fontId="3" fillId="0" borderId="0" xfId="2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165" fontId="0" fillId="0" borderId="0" xfId="0" applyNumberForma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65" fontId="7" fillId="0" borderId="1" xfId="1" applyNumberFormat="1" applyFont="1" applyBorder="1"/>
    <xf numFmtId="0" fontId="7" fillId="0" borderId="0" xfId="0" applyFont="1" applyAlignment="1">
      <alignment horizontal="center" vertical="center"/>
    </xf>
    <xf numFmtId="165" fontId="7" fillId="0" borderId="0" xfId="1" applyNumberFormat="1" applyFont="1" applyBorder="1"/>
    <xf numFmtId="0" fontId="7" fillId="0" borderId="2" xfId="0" applyFont="1" applyBorder="1" applyAlignment="1">
      <alignment horizontal="center"/>
    </xf>
    <xf numFmtId="165" fontId="7" fillId="0" borderId="2" xfId="1" applyNumberFormat="1" applyFont="1" applyBorder="1"/>
    <xf numFmtId="0" fontId="7" fillId="2" borderId="0" xfId="0" applyFont="1" applyFill="1" applyAlignment="1">
      <alignment horizontal="center"/>
    </xf>
    <xf numFmtId="165" fontId="7" fillId="2" borderId="0" xfId="1" applyNumberFormat="1" applyFont="1" applyFill="1"/>
    <xf numFmtId="0" fontId="7" fillId="2" borderId="0" xfId="0" applyFont="1" applyFill="1" applyAlignment="1">
      <alignment horizontal="center" vertical="center" wrapText="1"/>
    </xf>
    <xf numFmtId="166" fontId="7" fillId="2" borderId="0" xfId="3" applyNumberFormat="1" applyFont="1" applyFill="1" applyAlignment="1">
      <alignment vertical="center"/>
    </xf>
    <xf numFmtId="0" fontId="7" fillId="3" borderId="0" xfId="0" applyFont="1" applyFill="1" applyAlignment="1">
      <alignment horizontal="center"/>
    </xf>
    <xf numFmtId="0" fontId="7" fillId="2" borderId="0" xfId="0" applyFont="1" applyFill="1"/>
    <xf numFmtId="0" fontId="6" fillId="2" borderId="0" xfId="0" applyFont="1" applyFill="1" applyAlignment="1">
      <alignment horizontal="center"/>
    </xf>
    <xf numFmtId="166" fontId="7" fillId="2" borderId="0" xfId="3" applyNumberFormat="1" applyFont="1" applyFill="1"/>
    <xf numFmtId="0" fontId="0" fillId="3" borderId="0" xfId="0" applyFill="1"/>
    <xf numFmtId="43" fontId="0" fillId="3" borderId="0" xfId="1" applyFont="1" applyFill="1"/>
    <xf numFmtId="0" fontId="2" fillId="4" borderId="0" xfId="0" applyFont="1" applyFill="1" applyAlignment="1">
      <alignment horizontal="center" vertical="center"/>
    </xf>
    <xf numFmtId="0" fontId="0" fillId="4" borderId="0" xfId="0" applyFill="1"/>
    <xf numFmtId="0" fontId="7" fillId="4" borderId="0" xfId="0" applyFont="1" applyFill="1" applyAlignment="1">
      <alignment horizontal="center" vertical="center"/>
    </xf>
    <xf numFmtId="165" fontId="7" fillId="4" borderId="0" xfId="1" applyNumberFormat="1" applyFont="1" applyFill="1"/>
    <xf numFmtId="10" fontId="7" fillId="3" borderId="0" xfId="4" applyNumberFormat="1" applyFont="1" applyFill="1" applyBorder="1"/>
    <xf numFmtId="9" fontId="7" fillId="3" borderId="0" xfId="4" applyFont="1" applyFill="1" applyBorder="1"/>
    <xf numFmtId="10" fontId="7" fillId="4" borderId="1" xfId="4" applyNumberFormat="1" applyFont="1" applyFill="1" applyBorder="1" applyAlignment="1">
      <alignment horizontal="center" vertical="center"/>
    </xf>
    <xf numFmtId="165" fontId="7" fillId="4" borderId="1" xfId="1" applyNumberFormat="1" applyFont="1" applyFill="1" applyBorder="1"/>
    <xf numFmtId="10" fontId="7" fillId="4" borderId="2" xfId="4" applyNumberFormat="1" applyFont="1" applyFill="1" applyBorder="1" applyAlignment="1">
      <alignment horizontal="center" vertical="center"/>
    </xf>
    <xf numFmtId="165" fontId="7" fillId="4" borderId="2" xfId="4" applyNumberFormat="1" applyFont="1" applyFill="1" applyBorder="1"/>
    <xf numFmtId="10" fontId="7" fillId="4" borderId="0" xfId="4" applyNumberFormat="1" applyFont="1" applyFill="1" applyBorder="1" applyAlignment="1">
      <alignment horizontal="center" vertical="center"/>
    </xf>
    <xf numFmtId="44" fontId="7" fillId="4" borderId="0" xfId="3" applyFont="1" applyFill="1"/>
    <xf numFmtId="0" fontId="7" fillId="4" borderId="0" xfId="0" applyFont="1" applyFill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7" fillId="4" borderId="3" xfId="0" applyFont="1" applyFill="1" applyBorder="1"/>
    <xf numFmtId="0" fontId="7" fillId="3" borderId="0" xfId="0" applyFont="1" applyFill="1" applyAlignment="1">
      <alignment horizontal="center" vertical="center"/>
    </xf>
    <xf numFmtId="10" fontId="7" fillId="3" borderId="0" xfId="4" applyNumberFormat="1" applyFont="1" applyFill="1"/>
    <xf numFmtId="0" fontId="7" fillId="3" borderId="0" xfId="0" applyFont="1" applyFill="1"/>
    <xf numFmtId="0" fontId="7" fillId="4" borderId="0" xfId="0" applyFont="1" applyFill="1" applyAlignment="1">
      <alignment horizontal="center" vertical="center" wrapText="1"/>
    </xf>
    <xf numFmtId="165" fontId="7" fillId="4" borderId="0" xfId="1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165" fontId="7" fillId="4" borderId="2" xfId="1" applyNumberFormat="1" applyFont="1" applyFill="1" applyBorder="1"/>
    <xf numFmtId="0" fontId="6" fillId="4" borderId="0" xfId="0" applyFont="1" applyFill="1" applyAlignment="1">
      <alignment horizontal="center"/>
    </xf>
    <xf numFmtId="166" fontId="7" fillId="4" borderId="0" xfId="0" applyNumberFormat="1" applyFont="1" applyFill="1"/>
    <xf numFmtId="167" fontId="7" fillId="0" borderId="0" xfId="0" applyNumberFormat="1" applyFont="1"/>
    <xf numFmtId="166" fontId="7" fillId="0" borderId="0" xfId="0" applyNumberFormat="1" applyFont="1"/>
    <xf numFmtId="44" fontId="7" fillId="0" borderId="0" xfId="3" applyFont="1" applyFill="1" applyAlignment="1">
      <alignment horizontal="center" vertical="center"/>
    </xf>
    <xf numFmtId="166" fontId="7" fillId="0" borderId="0" xfId="3" applyNumberFormat="1" applyFont="1"/>
    <xf numFmtId="0" fontId="7" fillId="0" borderId="3" xfId="0" applyFont="1" applyBorder="1" applyAlignment="1">
      <alignment horizontal="center" vertical="center"/>
    </xf>
    <xf numFmtId="43" fontId="0" fillId="0" borderId="3" xfId="1" applyFont="1" applyBorder="1"/>
    <xf numFmtId="0" fontId="7" fillId="0" borderId="4" xfId="0" applyFont="1" applyBorder="1" applyAlignment="1">
      <alignment horizontal="center" vertical="center"/>
    </xf>
    <xf numFmtId="166" fontId="0" fillId="0" borderId="4" xfId="0" applyNumberFormat="1" applyBorder="1"/>
    <xf numFmtId="0" fontId="0" fillId="0" borderId="4" xfId="0" applyBorder="1"/>
    <xf numFmtId="0" fontId="7" fillId="5" borderId="4" xfId="0" applyFont="1" applyFill="1" applyBorder="1" applyAlignment="1">
      <alignment horizontal="center" vertical="center"/>
    </xf>
    <xf numFmtId="165" fontId="0" fillId="0" borderId="4" xfId="0" applyNumberFormat="1" applyBorder="1"/>
    <xf numFmtId="0" fontId="2" fillId="0" borderId="0" xfId="0" applyFont="1" applyAlignment="1">
      <alignment horizontal="right"/>
    </xf>
    <xf numFmtId="168" fontId="0" fillId="0" borderId="0" xfId="0" applyNumberFormat="1"/>
    <xf numFmtId="9" fontId="0" fillId="0" borderId="0" xfId="4" applyFont="1"/>
    <xf numFmtId="168" fontId="0" fillId="0" borderId="0" xfId="4" applyNumberFormat="1" applyFont="1"/>
    <xf numFmtId="169" fontId="0" fillId="0" borderId="0" xfId="4" applyNumberFormat="1" applyFont="1"/>
    <xf numFmtId="170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  <xf numFmtId="166" fontId="7" fillId="5" borderId="0" xfId="0" applyNumberFormat="1" applyFont="1" applyFill="1"/>
    <xf numFmtId="0" fontId="0" fillId="5" borderId="0" xfId="0" applyFill="1"/>
    <xf numFmtId="0" fontId="10" fillId="0" borderId="5" xfId="0" applyFont="1" applyBorder="1" applyAlignment="1">
      <alignment wrapText="1"/>
    </xf>
    <xf numFmtId="0" fontId="11" fillId="0" borderId="5" xfId="0" applyFont="1" applyBorder="1" applyAlignment="1">
      <alignment horizontal="right" wrapText="1"/>
    </xf>
    <xf numFmtId="165" fontId="7" fillId="0" borderId="0" xfId="1" applyNumberFormat="1" applyFont="1"/>
    <xf numFmtId="9" fontId="0" fillId="3" borderId="0" xfId="4" applyFont="1" applyFill="1"/>
    <xf numFmtId="0" fontId="7" fillId="4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6" borderId="2" xfId="0" applyFont="1" applyFill="1" applyBorder="1"/>
    <xf numFmtId="0" fontId="7" fillId="6" borderId="0" xfId="0" applyFont="1" applyFill="1"/>
    <xf numFmtId="165" fontId="7" fillId="6" borderId="0" xfId="1" applyNumberFormat="1" applyFont="1" applyFill="1" applyBorder="1"/>
    <xf numFmtId="165" fontId="7" fillId="6" borderId="2" xfId="1" applyNumberFormat="1" applyFont="1" applyFill="1" applyBorder="1"/>
    <xf numFmtId="165" fontId="7" fillId="6" borderId="0" xfId="1" applyNumberFormat="1" applyFont="1" applyFill="1"/>
    <xf numFmtId="166" fontId="7" fillId="6" borderId="0" xfId="0" applyNumberFormat="1" applyFont="1" applyFill="1" applyAlignment="1">
      <alignment vertical="center"/>
    </xf>
    <xf numFmtId="166" fontId="7" fillId="6" borderId="0" xfId="3" applyNumberFormat="1" applyFont="1" applyFill="1"/>
    <xf numFmtId="0" fontId="0" fillId="6" borderId="0" xfId="0" applyFill="1"/>
    <xf numFmtId="165" fontId="0" fillId="6" borderId="1" xfId="1" applyNumberFormat="1" applyFont="1" applyFill="1" applyBorder="1"/>
    <xf numFmtId="165" fontId="7" fillId="6" borderId="2" xfId="4" applyNumberFormat="1" applyFont="1" applyFill="1" applyBorder="1"/>
    <xf numFmtId="44" fontId="7" fillId="6" borderId="0" xfId="3" applyFont="1" applyFill="1"/>
    <xf numFmtId="165" fontId="7" fillId="6" borderId="0" xfId="1" applyNumberFormat="1" applyFont="1" applyFill="1" applyAlignment="1">
      <alignment horizontal="right" vertical="center"/>
    </xf>
    <xf numFmtId="165" fontId="7" fillId="6" borderId="2" xfId="1" applyNumberFormat="1" applyFont="1" applyFill="1" applyBorder="1" applyAlignment="1">
      <alignment horizontal="right"/>
    </xf>
    <xf numFmtId="166" fontId="7" fillId="6" borderId="0" xfId="0" applyNumberFormat="1" applyFont="1" applyFill="1"/>
    <xf numFmtId="0" fontId="7" fillId="0" borderId="1" xfId="0" applyFont="1" applyBorder="1"/>
    <xf numFmtId="0" fontId="7" fillId="0" borderId="2" xfId="0" applyFont="1" applyBorder="1"/>
    <xf numFmtId="0" fontId="7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7" fillId="0" borderId="3" xfId="0" applyFont="1" applyBorder="1"/>
    <xf numFmtId="0" fontId="0" fillId="0" borderId="3" xfId="0" applyBorder="1"/>
    <xf numFmtId="165" fontId="0" fillId="6" borderId="0" xfId="1" applyNumberFormat="1" applyFont="1" applyFill="1"/>
    <xf numFmtId="43" fontId="0" fillId="6" borderId="3" xfId="1" applyFont="1" applyFill="1" applyBorder="1"/>
    <xf numFmtId="166" fontId="0" fillId="6" borderId="4" xfId="0" applyNumberFormat="1" applyFill="1" applyBorder="1"/>
    <xf numFmtId="165" fontId="0" fillId="6" borderId="0" xfId="0" applyNumberFormat="1" applyFill="1"/>
    <xf numFmtId="168" fontId="0" fillId="6" borderId="0" xfId="0" applyNumberFormat="1" applyFill="1"/>
    <xf numFmtId="9" fontId="0" fillId="6" borderId="0" xfId="4" applyFont="1" applyFill="1"/>
    <xf numFmtId="168" fontId="0" fillId="6" borderId="0" xfId="4" applyNumberFormat="1" applyFont="1" applyFill="1"/>
    <xf numFmtId="168" fontId="0" fillId="0" borderId="0" xfId="4" applyNumberFormat="1" applyFont="1" applyFill="1"/>
    <xf numFmtId="165" fontId="0" fillId="3" borderId="0" xfId="1" applyNumberFormat="1" applyFont="1" applyFill="1"/>
    <xf numFmtId="170" fontId="0" fillId="6" borderId="0" xfId="0" applyNumberFormat="1" applyFill="1"/>
    <xf numFmtId="166" fontId="12" fillId="6" borderId="0" xfId="0" applyNumberFormat="1" applyFont="1" applyFill="1" applyAlignment="1">
      <alignment vertical="center"/>
    </xf>
    <xf numFmtId="43" fontId="7" fillId="3" borderId="0" xfId="0" applyNumberFormat="1" applyFont="1" applyFill="1"/>
    <xf numFmtId="166" fontId="7" fillId="4" borderId="3" xfId="0" applyNumberFormat="1" applyFont="1" applyFill="1" applyBorder="1"/>
    <xf numFmtId="43" fontId="13" fillId="0" borderId="0" xfId="0" applyNumberFormat="1" applyFont="1"/>
  </cellXfs>
  <cellStyles count="5">
    <cellStyle name="Hipervínculo" xfId="2" builtinId="8"/>
    <cellStyle name="Millares" xfId="1" builtinId="3"/>
    <cellStyle name="Moneda" xfId="3" builtinId="4"/>
    <cellStyle name="Normal" xfId="0" builtinId="0"/>
    <cellStyle name="Porcentaje" xfId="4" builtinId="5"/>
  </cellStyles>
  <dxfs count="2"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abajo\SSS\SSS_DNPEYN\Area%20Seguimiento%20y%20Monitoreo%20de%20Estadisticas\BESS\BESS%20EXCEL%20UNIFICADO%20PARA%20WEB\DICIEMBRE%20X%20CAPITULOS\INSUMOS\ACTIVOS\Insumo%20cuadros%201.1.3%20REMUN%20-%202019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abajo\Area%20Seguimiento%20y%20Monitoreo%20de%20Estadisticas\BESS\PROCESOS\2019\BESS%20201909%20SEPTIEMBRE\Aportantes\Cuadros%20de%20Altas%20pasivos%20seg&#250;n%20aport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abajo\SSS_DNPEYN\Area%20Seguimiento%20y%20Monitoreo%20de%20Estadisticas\BESS\BESS%202020\MARZO%202020\PROCESOS\Altas\Cuadros%20de%20Altas%20pasivos%20seg&#250;n%20aport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abajo\sss\DNPEyN\Area%20Seguimiento%20y%20Monitoreo%20de%20Estadisticas\BESS\BESS%202021\SEPTIEMBRE%202021\PROCESOS\PASIVOS\ALTAS\01.%20Cuadros%20de%20Altas%20pasivos%20seg&#250;n%20aportes.%2020210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abajo\sss\DNPEyN\Area%20Seguimiento%20y%20Monitoreo%20de%20Estadisticas\BESS\BESS%202022\DICIEMBRE%202022\PROCESOS\PASIVOS\ALTAS\01.%20Cuadros%20de%20Altas%20pasivos%20seg&#250;n%20aportes.%2020221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Area%20Seguimiento%20y%20Monitoreo%20de%20Estadisticas/BESS/BESS%202023/DICIEMBRE%202023/PROCESOS/PASIVOS/ALTAS/01.%20Cuadros%20de%20Altas%20pasivos%20seg&#250;n%20aportes.%20202312.xlsx" TargetMode="External"/><Relationship Id="rId1" Type="http://schemas.openxmlformats.org/officeDocument/2006/relationships/externalLinkPath" Target="/Area%20Seguimiento%20y%20Monitoreo%20de%20Estadisticas/BESS/BESS%202023/DICIEMBRE%202023/PROCESOS/PASIVOS/ALTAS/01.%20Cuadros%20de%20Altas%20pasivos%20seg&#250;n%20aportes.%20202312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onomicasuba-my.sharepoint.com/personal/74es44317904_campus_economicas_uba_ar/Documents/1%20UBA/MATERIAS/20%20TESINA/Josefina/numeros/datos.XLSX" TargetMode="External"/><Relationship Id="rId1" Type="http://schemas.openxmlformats.org/officeDocument/2006/relationships/externalLinkPath" Target="dato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onomicasuba-my.sharepoint.com/personal/74es44317904_campus_economicas_uba_ar/Documents/1%20UBA/MATERIAS/20%20TESINA/Josefina/numeros/fondo_calc_por_a&#241;o.xlsx" TargetMode="External"/><Relationship Id="rId1" Type="http://schemas.openxmlformats.org/officeDocument/2006/relationships/externalLinkPath" Target="fondo_calc_por_a&#241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bl Nac y Especiales"/>
      <sheetName val="Público pcial"/>
      <sheetName val="privado act econ"/>
      <sheetName val="Aportantes F y M"/>
      <sheetName val="Rem prom F y M"/>
    </sheetNames>
    <sheetDataSet>
      <sheetData sheetId="0">
        <row r="2">
          <cell r="A2" t="str">
            <v>PJU</v>
          </cell>
        </row>
      </sheetData>
      <sheetData sheetId="1">
        <row r="2">
          <cell r="A2" t="str">
            <v>Ciudad Autónoma de Bs.As.</v>
          </cell>
          <cell r="B2" t="str">
            <v xml:space="preserve">F  </v>
          </cell>
          <cell r="C2" t="str">
            <v>0. TOTAL</v>
          </cell>
          <cell r="D2">
            <v>56257</v>
          </cell>
          <cell r="E2">
            <v>3330015934.7600002</v>
          </cell>
        </row>
        <row r="3">
          <cell r="A3" t="str">
            <v>Ciudad Autónoma de Bs.As.</v>
          </cell>
          <cell r="B3" t="str">
            <v xml:space="preserve">F  </v>
          </cell>
          <cell r="C3" t="str">
            <v>1.Hasta 24</v>
          </cell>
          <cell r="D3">
            <v>898</v>
          </cell>
          <cell r="E3">
            <v>40296038.259999998</v>
          </cell>
        </row>
        <row r="4">
          <cell r="A4" t="str">
            <v>Ciudad Autónoma de Bs.As.</v>
          </cell>
          <cell r="B4" t="str">
            <v xml:space="preserve">F  </v>
          </cell>
          <cell r="C4" t="str">
            <v>3.25 a 29</v>
          </cell>
          <cell r="D4">
            <v>4346</v>
          </cell>
          <cell r="E4">
            <v>205738032.94999999</v>
          </cell>
        </row>
        <row r="5">
          <cell r="A5" t="str">
            <v>Ciudad Autónoma de Bs.As.</v>
          </cell>
          <cell r="B5" t="str">
            <v xml:space="preserve">F  </v>
          </cell>
          <cell r="C5" t="str">
            <v>4.30 a 34</v>
          </cell>
          <cell r="D5">
            <v>6956</v>
          </cell>
          <cell r="E5">
            <v>359493125.93000001</v>
          </cell>
        </row>
        <row r="6">
          <cell r="A6" t="str">
            <v>Ciudad Autónoma de Bs.As.</v>
          </cell>
          <cell r="B6" t="str">
            <v xml:space="preserve">F  </v>
          </cell>
          <cell r="C6" t="str">
            <v>5.35 a 39</v>
          </cell>
          <cell r="D6">
            <v>8248</v>
          </cell>
          <cell r="E6">
            <v>451122980.64999998</v>
          </cell>
        </row>
        <row r="7">
          <cell r="A7" t="str">
            <v>Ciudad Autónoma de Bs.As.</v>
          </cell>
          <cell r="B7" t="str">
            <v xml:space="preserve">F  </v>
          </cell>
          <cell r="C7" t="str">
            <v>6.40 a 44</v>
          </cell>
          <cell r="D7">
            <v>8443</v>
          </cell>
          <cell r="E7">
            <v>492718231.01999998</v>
          </cell>
        </row>
        <row r="8">
          <cell r="A8" t="str">
            <v>Ciudad Autónoma de Bs.As.</v>
          </cell>
          <cell r="B8" t="str">
            <v xml:space="preserve">F  </v>
          </cell>
          <cell r="C8" t="str">
            <v>7.45 a 49</v>
          </cell>
          <cell r="D8">
            <v>7002</v>
          </cell>
          <cell r="E8">
            <v>417746509.23000002</v>
          </cell>
        </row>
        <row r="9">
          <cell r="A9" t="str">
            <v>Ciudad Autónoma de Bs.As.</v>
          </cell>
          <cell r="B9" t="str">
            <v xml:space="preserve">F  </v>
          </cell>
          <cell r="C9" t="str">
            <v>8.50 a 54</v>
          </cell>
          <cell r="D9">
            <v>6955</v>
          </cell>
          <cell r="E9">
            <v>441111462</v>
          </cell>
        </row>
        <row r="10">
          <cell r="A10" t="str">
            <v>Ciudad Autónoma de Bs.As.</v>
          </cell>
          <cell r="B10" t="str">
            <v xml:space="preserve">F  </v>
          </cell>
          <cell r="C10" t="str">
            <v>9.55 a 59</v>
          </cell>
          <cell r="D10">
            <v>6705</v>
          </cell>
          <cell r="E10">
            <v>449436290.66000003</v>
          </cell>
        </row>
        <row r="11">
          <cell r="A11" t="str">
            <v>Ciudad Autónoma de Bs.As.</v>
          </cell>
          <cell r="B11" t="str">
            <v xml:space="preserve">F  </v>
          </cell>
          <cell r="C11" t="str">
            <v>A.60 a 64</v>
          </cell>
          <cell r="D11">
            <v>4617</v>
          </cell>
          <cell r="E11">
            <v>337578334.48000002</v>
          </cell>
        </row>
        <row r="12">
          <cell r="A12" t="str">
            <v>Ciudad Autónoma de Bs.As.</v>
          </cell>
          <cell r="B12" t="str">
            <v xml:space="preserve">F  </v>
          </cell>
          <cell r="C12" t="str">
            <v>B.65 y más</v>
          </cell>
          <cell r="D12">
            <v>1771</v>
          </cell>
          <cell r="E12">
            <v>119967665.26000001</v>
          </cell>
        </row>
        <row r="13">
          <cell r="A13" t="str">
            <v>Ciudad Autónoma de Bs.As.</v>
          </cell>
          <cell r="B13" t="str">
            <v xml:space="preserve">F  </v>
          </cell>
          <cell r="C13" t="str">
            <v>X.No Informada</v>
          </cell>
          <cell r="D13">
            <v>316</v>
          </cell>
          <cell r="E13">
            <v>14807264.32</v>
          </cell>
        </row>
        <row r="14">
          <cell r="A14" t="str">
            <v>Ciudad Autónoma de Bs.As.</v>
          </cell>
          <cell r="B14" t="str">
            <v xml:space="preserve">M  </v>
          </cell>
          <cell r="C14" t="str">
            <v>0. TOTAL</v>
          </cell>
          <cell r="D14">
            <v>40949</v>
          </cell>
          <cell r="E14">
            <v>2667082781.1399999</v>
          </cell>
        </row>
        <row r="15">
          <cell r="A15" t="str">
            <v>Ciudad Autónoma de Bs.As.</v>
          </cell>
          <cell r="B15" t="str">
            <v xml:space="preserve">M  </v>
          </cell>
          <cell r="C15" t="str">
            <v>1.Hasta 24</v>
          </cell>
          <cell r="D15">
            <v>784</v>
          </cell>
          <cell r="E15">
            <v>35607409.289999999</v>
          </cell>
        </row>
        <row r="16">
          <cell r="A16" t="str">
            <v>Ciudad Autónoma de Bs.As.</v>
          </cell>
          <cell r="B16" t="str">
            <v xml:space="preserve">M  </v>
          </cell>
          <cell r="C16" t="str">
            <v>3.25 a 29</v>
          </cell>
          <cell r="D16">
            <v>2923</v>
          </cell>
          <cell r="E16">
            <v>142843708.16999999</v>
          </cell>
        </row>
        <row r="17">
          <cell r="A17" t="str">
            <v>Ciudad Autónoma de Bs.As.</v>
          </cell>
          <cell r="B17" t="str">
            <v xml:space="preserve">M  </v>
          </cell>
          <cell r="C17" t="str">
            <v>4.30 a 34</v>
          </cell>
          <cell r="D17">
            <v>4934</v>
          </cell>
          <cell r="E17">
            <v>267969977.21000001</v>
          </cell>
        </row>
        <row r="18">
          <cell r="A18" t="str">
            <v>Ciudad Autónoma de Bs.As.</v>
          </cell>
          <cell r="B18" t="str">
            <v xml:space="preserve">M  </v>
          </cell>
          <cell r="C18" t="str">
            <v>5.35 a 39</v>
          </cell>
          <cell r="D18">
            <v>5767</v>
          </cell>
          <cell r="E18">
            <v>334477314.70999998</v>
          </cell>
        </row>
        <row r="19">
          <cell r="A19" t="str">
            <v>Ciudad Autónoma de Bs.As.</v>
          </cell>
          <cell r="B19" t="str">
            <v xml:space="preserve">M  </v>
          </cell>
          <cell r="C19" t="str">
            <v>6.40 a 44</v>
          </cell>
          <cell r="D19">
            <v>5759</v>
          </cell>
          <cell r="E19">
            <v>362948094.88</v>
          </cell>
        </row>
        <row r="20">
          <cell r="A20" t="str">
            <v>Ciudad Autónoma de Bs.As.</v>
          </cell>
          <cell r="B20" t="str">
            <v xml:space="preserve">M  </v>
          </cell>
          <cell r="C20" t="str">
            <v>7.45 a 49</v>
          </cell>
          <cell r="D20">
            <v>5068</v>
          </cell>
          <cell r="E20">
            <v>333606429.07999998</v>
          </cell>
        </row>
        <row r="21">
          <cell r="A21" t="str">
            <v>Ciudad Autónoma de Bs.As.</v>
          </cell>
          <cell r="B21" t="str">
            <v xml:space="preserve">M  </v>
          </cell>
          <cell r="C21" t="str">
            <v>8.50 a 54</v>
          </cell>
          <cell r="D21">
            <v>4744</v>
          </cell>
          <cell r="E21">
            <v>322289741.01999998</v>
          </cell>
        </row>
        <row r="22">
          <cell r="A22" t="str">
            <v>Ciudad Autónoma de Bs.As.</v>
          </cell>
          <cell r="B22" t="str">
            <v xml:space="preserve">M  </v>
          </cell>
          <cell r="C22" t="str">
            <v>9.55 a 59</v>
          </cell>
          <cell r="D22">
            <v>4932</v>
          </cell>
          <cell r="E22">
            <v>365577419.25999999</v>
          </cell>
        </row>
        <row r="23">
          <cell r="A23" t="str">
            <v>Ciudad Autónoma de Bs.As.</v>
          </cell>
          <cell r="B23" t="str">
            <v xml:space="preserve">M  </v>
          </cell>
          <cell r="C23" t="str">
            <v>A.60 a 64</v>
          </cell>
          <cell r="D23">
            <v>4227</v>
          </cell>
          <cell r="E23">
            <v>354939151.22000003</v>
          </cell>
        </row>
        <row r="24">
          <cell r="A24" t="str">
            <v>Ciudad Autónoma de Bs.As.</v>
          </cell>
          <cell r="B24" t="str">
            <v xml:space="preserve">M  </v>
          </cell>
          <cell r="C24" t="str">
            <v>B.65 y más</v>
          </cell>
          <cell r="D24">
            <v>1767</v>
          </cell>
          <cell r="E24">
            <v>144744178.80000001</v>
          </cell>
        </row>
        <row r="25">
          <cell r="A25" t="str">
            <v>Ciudad Autónoma de Bs.As.</v>
          </cell>
          <cell r="B25" t="str">
            <v xml:space="preserve">M  </v>
          </cell>
          <cell r="C25" t="str">
            <v>X.No Informada</v>
          </cell>
          <cell r="D25">
            <v>44</v>
          </cell>
          <cell r="E25">
            <v>2079357.5</v>
          </cell>
        </row>
        <row r="26">
          <cell r="A26" t="str">
            <v>Ciudad Autónoma de Bs.As.</v>
          </cell>
          <cell r="B26" t="str">
            <v>Tot</v>
          </cell>
          <cell r="C26" t="str">
            <v>0. TOTAL</v>
          </cell>
          <cell r="D26">
            <v>97217</v>
          </cell>
          <cell r="E26">
            <v>5998005365.4099998</v>
          </cell>
        </row>
        <row r="27">
          <cell r="A27" t="str">
            <v>Ciudad Autónoma de Bs.As.</v>
          </cell>
          <cell r="B27" t="str">
            <v>Tot</v>
          </cell>
          <cell r="C27" t="str">
            <v>1.Hasta 24</v>
          </cell>
          <cell r="D27">
            <v>1682</v>
          </cell>
          <cell r="E27">
            <v>75903447.549999997</v>
          </cell>
        </row>
        <row r="28">
          <cell r="A28" t="str">
            <v>Ciudad Autónoma de Bs.As.</v>
          </cell>
          <cell r="B28" t="str">
            <v>Tot</v>
          </cell>
          <cell r="C28" t="str">
            <v>3.25 a 29</v>
          </cell>
          <cell r="D28">
            <v>7270</v>
          </cell>
          <cell r="E28">
            <v>348613706.27999997</v>
          </cell>
        </row>
        <row r="29">
          <cell r="A29" t="str">
            <v>Ciudad Autónoma de Bs.As.</v>
          </cell>
          <cell r="B29" t="str">
            <v>Tot</v>
          </cell>
          <cell r="C29" t="str">
            <v>4.30 a 34</v>
          </cell>
          <cell r="D29">
            <v>11890</v>
          </cell>
          <cell r="E29">
            <v>627463103.13999999</v>
          </cell>
        </row>
        <row r="30">
          <cell r="A30" t="str">
            <v>Ciudad Autónoma de Bs.As.</v>
          </cell>
          <cell r="B30" t="str">
            <v>Tot</v>
          </cell>
          <cell r="C30" t="str">
            <v>5.35 a 39</v>
          </cell>
          <cell r="D30">
            <v>14015</v>
          </cell>
          <cell r="E30">
            <v>785600295.36000001</v>
          </cell>
        </row>
        <row r="31">
          <cell r="A31" t="str">
            <v>Ciudad Autónoma de Bs.As.</v>
          </cell>
          <cell r="B31" t="str">
            <v>Tot</v>
          </cell>
          <cell r="C31" t="str">
            <v>6.40 a 44</v>
          </cell>
          <cell r="D31">
            <v>14204</v>
          </cell>
          <cell r="E31">
            <v>855865268.33000004</v>
          </cell>
        </row>
        <row r="32">
          <cell r="A32" t="str">
            <v>Ciudad Autónoma de Bs.As.</v>
          </cell>
          <cell r="B32" t="str">
            <v>Tot</v>
          </cell>
          <cell r="C32" t="str">
            <v>7.45 a 49</v>
          </cell>
          <cell r="D32">
            <v>12070</v>
          </cell>
          <cell r="E32">
            <v>751352938.30999994</v>
          </cell>
        </row>
        <row r="33">
          <cell r="A33" t="str">
            <v>Ciudad Autónoma de Bs.As.</v>
          </cell>
          <cell r="B33" t="str">
            <v>Tot</v>
          </cell>
          <cell r="C33" t="str">
            <v>8.50 a 54</v>
          </cell>
          <cell r="D33">
            <v>11701</v>
          </cell>
          <cell r="E33">
            <v>763517890.25999999</v>
          </cell>
        </row>
        <row r="34">
          <cell r="A34" t="str">
            <v>Ciudad Autónoma de Bs.As.</v>
          </cell>
          <cell r="B34" t="str">
            <v>Tot</v>
          </cell>
          <cell r="C34" t="str">
            <v>9.55 a 59</v>
          </cell>
          <cell r="D34">
            <v>11637</v>
          </cell>
          <cell r="E34">
            <v>815013709.91999996</v>
          </cell>
        </row>
        <row r="35">
          <cell r="A35" t="str">
            <v>Ciudad Autónoma de Bs.As.</v>
          </cell>
          <cell r="B35" t="str">
            <v>Tot</v>
          </cell>
          <cell r="C35" t="str">
            <v>A.60 a 64</v>
          </cell>
          <cell r="D35">
            <v>8845</v>
          </cell>
          <cell r="E35">
            <v>692552500.64999998</v>
          </cell>
        </row>
        <row r="36">
          <cell r="A36" t="str">
            <v>Ciudad Autónoma de Bs.As.</v>
          </cell>
          <cell r="B36" t="str">
            <v>Tot</v>
          </cell>
          <cell r="C36" t="str">
            <v>B.65 y más</v>
          </cell>
          <cell r="D36">
            <v>3538</v>
          </cell>
          <cell r="E36">
            <v>264711844.06</v>
          </cell>
        </row>
        <row r="37">
          <cell r="A37" t="str">
            <v>Ciudad Autónoma de Bs.As.</v>
          </cell>
          <cell r="B37" t="str">
            <v>Tot</v>
          </cell>
          <cell r="C37" t="str">
            <v>X.No Informada</v>
          </cell>
          <cell r="D37">
            <v>365</v>
          </cell>
          <cell r="E37">
            <v>17410661.550000001</v>
          </cell>
        </row>
        <row r="38">
          <cell r="A38" t="str">
            <v>Ciudad Autónoma de Bs.As.</v>
          </cell>
          <cell r="B38" t="str">
            <v xml:space="preserve">x  </v>
          </cell>
          <cell r="C38" t="str">
            <v>0. TOTAL</v>
          </cell>
          <cell r="D38">
            <v>11</v>
          </cell>
          <cell r="E38">
            <v>906649.51</v>
          </cell>
        </row>
        <row r="39">
          <cell r="A39" t="str">
            <v>Ciudad Autónoma de Bs.As.</v>
          </cell>
          <cell r="B39" t="str">
            <v xml:space="preserve">x  </v>
          </cell>
          <cell r="C39" t="str">
            <v>3.25 a 29</v>
          </cell>
          <cell r="D39">
            <v>1</v>
          </cell>
          <cell r="E39">
            <v>31965.16</v>
          </cell>
        </row>
        <row r="40">
          <cell r="A40" t="str">
            <v>Ciudad Autónoma de Bs.As.</v>
          </cell>
          <cell r="B40" t="str">
            <v xml:space="preserve">x  </v>
          </cell>
          <cell r="C40" t="str">
            <v>6.40 a 44</v>
          </cell>
          <cell r="D40">
            <v>2</v>
          </cell>
          <cell r="E40">
            <v>198942.43</v>
          </cell>
        </row>
        <row r="41">
          <cell r="A41" t="str">
            <v>Ciudad Autónoma de Bs.As.</v>
          </cell>
          <cell r="B41" t="str">
            <v xml:space="preserve">x  </v>
          </cell>
          <cell r="C41" t="str">
            <v>8.50 a 54</v>
          </cell>
          <cell r="D41">
            <v>2</v>
          </cell>
          <cell r="E41">
            <v>116687.24</v>
          </cell>
        </row>
        <row r="42">
          <cell r="A42" t="str">
            <v>Ciudad Autónoma de Bs.As.</v>
          </cell>
          <cell r="B42" t="str">
            <v xml:space="preserve">x  </v>
          </cell>
          <cell r="C42" t="str">
            <v>A.60 a 64</v>
          </cell>
          <cell r="D42">
            <v>1</v>
          </cell>
          <cell r="E42">
            <v>35014.949999999997</v>
          </cell>
        </row>
        <row r="43">
          <cell r="A43" t="str">
            <v>Ciudad Autónoma de Bs.As.</v>
          </cell>
          <cell r="B43" t="str">
            <v xml:space="preserve">x  </v>
          </cell>
          <cell r="C43" t="str">
            <v>X.No Informada</v>
          </cell>
          <cell r="D43">
            <v>5</v>
          </cell>
          <cell r="E43">
            <v>524039.73</v>
          </cell>
        </row>
        <row r="44">
          <cell r="A44" t="str">
            <v>zzz</v>
          </cell>
          <cell r="B44" t="str">
            <v xml:space="preserve">x  </v>
          </cell>
          <cell r="C44" t="str">
            <v>3.25 a 29</v>
          </cell>
          <cell r="D44">
            <v>1</v>
          </cell>
          <cell r="E44">
            <v>31965.16</v>
          </cell>
        </row>
        <row r="45">
          <cell r="A45" t="str">
            <v>Buenos Aires</v>
          </cell>
          <cell r="B45" t="str">
            <v xml:space="preserve">F  </v>
          </cell>
          <cell r="C45" t="str">
            <v>0. TOTAL</v>
          </cell>
          <cell r="D45">
            <v>1050</v>
          </cell>
          <cell r="E45">
            <v>63299651.670000002</v>
          </cell>
        </row>
        <row r="46">
          <cell r="A46" t="str">
            <v>Buenos Aires</v>
          </cell>
          <cell r="B46" t="str">
            <v xml:space="preserve">F  </v>
          </cell>
          <cell r="C46" t="str">
            <v>1.Hasta 24</v>
          </cell>
          <cell r="D46">
            <v>44</v>
          </cell>
          <cell r="E46">
            <v>1671230.65</v>
          </cell>
        </row>
        <row r="47">
          <cell r="A47" t="str">
            <v>Buenos Aires</v>
          </cell>
          <cell r="B47" t="str">
            <v xml:space="preserve">F  </v>
          </cell>
          <cell r="C47" t="str">
            <v>3.25 a 29</v>
          </cell>
          <cell r="D47">
            <v>123</v>
          </cell>
          <cell r="E47">
            <v>5358010.8099999996</v>
          </cell>
        </row>
        <row r="48">
          <cell r="A48" t="str">
            <v>Buenos Aires</v>
          </cell>
          <cell r="B48" t="str">
            <v xml:space="preserve">F  </v>
          </cell>
          <cell r="C48" t="str">
            <v>4.30 a 34</v>
          </cell>
          <cell r="D48">
            <v>196</v>
          </cell>
          <cell r="E48">
            <v>9868247.3100000005</v>
          </cell>
        </row>
        <row r="49">
          <cell r="A49" t="str">
            <v>Buenos Aires</v>
          </cell>
          <cell r="B49" t="str">
            <v xml:space="preserve">F  </v>
          </cell>
          <cell r="C49" t="str">
            <v>5.35 a 39</v>
          </cell>
          <cell r="D49">
            <v>184</v>
          </cell>
          <cell r="E49">
            <v>10522944.289999999</v>
          </cell>
        </row>
        <row r="50">
          <cell r="A50" t="str">
            <v>Buenos Aires</v>
          </cell>
          <cell r="B50" t="str">
            <v xml:space="preserve">F  </v>
          </cell>
          <cell r="C50" t="str">
            <v>6.40 a 44</v>
          </cell>
          <cell r="D50">
            <v>162</v>
          </cell>
          <cell r="E50">
            <v>10110569.890000001</v>
          </cell>
        </row>
        <row r="51">
          <cell r="A51" t="str">
            <v>Buenos Aires</v>
          </cell>
          <cell r="B51" t="str">
            <v xml:space="preserve">F  </v>
          </cell>
          <cell r="C51" t="str">
            <v>7.45 a 49</v>
          </cell>
          <cell r="D51">
            <v>129</v>
          </cell>
          <cell r="E51">
            <v>9049459.6999999993</v>
          </cell>
        </row>
        <row r="52">
          <cell r="A52" t="str">
            <v>Buenos Aires</v>
          </cell>
          <cell r="B52" t="str">
            <v xml:space="preserve">F  </v>
          </cell>
          <cell r="C52" t="str">
            <v>8.50 a 54</v>
          </cell>
          <cell r="D52">
            <v>90</v>
          </cell>
          <cell r="E52">
            <v>6583478.3200000003</v>
          </cell>
        </row>
        <row r="53">
          <cell r="A53" t="str">
            <v>Buenos Aires</v>
          </cell>
          <cell r="B53" t="str">
            <v xml:space="preserve">F  </v>
          </cell>
          <cell r="C53" t="str">
            <v>9.55 a 59</v>
          </cell>
          <cell r="D53">
            <v>66</v>
          </cell>
          <cell r="E53">
            <v>5010790.82</v>
          </cell>
        </row>
        <row r="54">
          <cell r="A54" t="str">
            <v>Buenos Aires</v>
          </cell>
          <cell r="B54" t="str">
            <v xml:space="preserve">F  </v>
          </cell>
          <cell r="C54" t="str">
            <v>A.60 a 64</v>
          </cell>
          <cell r="D54">
            <v>36</v>
          </cell>
          <cell r="E54">
            <v>3753087.75</v>
          </cell>
        </row>
        <row r="55">
          <cell r="A55" t="str">
            <v>Buenos Aires</v>
          </cell>
          <cell r="B55" t="str">
            <v xml:space="preserve">F  </v>
          </cell>
          <cell r="C55" t="str">
            <v>B.65 y más</v>
          </cell>
          <cell r="D55">
            <v>14</v>
          </cell>
          <cell r="E55">
            <v>966385.66</v>
          </cell>
        </row>
        <row r="56">
          <cell r="A56" t="str">
            <v>Buenos Aires</v>
          </cell>
          <cell r="B56" t="str">
            <v xml:space="preserve">F  </v>
          </cell>
          <cell r="C56" t="str">
            <v>X.No Informada</v>
          </cell>
          <cell r="D56">
            <v>6</v>
          </cell>
          <cell r="E56">
            <v>405446.47</v>
          </cell>
        </row>
        <row r="57">
          <cell r="A57" t="str">
            <v>Buenos Aires</v>
          </cell>
          <cell r="B57" t="str">
            <v xml:space="preserve">M  </v>
          </cell>
          <cell r="C57" t="str">
            <v>0. TOTAL</v>
          </cell>
          <cell r="D57">
            <v>2786</v>
          </cell>
          <cell r="E57">
            <v>209637867.62</v>
          </cell>
        </row>
        <row r="58">
          <cell r="A58" t="str">
            <v>Buenos Aires</v>
          </cell>
          <cell r="B58" t="str">
            <v xml:space="preserve">M  </v>
          </cell>
          <cell r="C58" t="str">
            <v>1.Hasta 24</v>
          </cell>
          <cell r="D58">
            <v>142</v>
          </cell>
          <cell r="E58">
            <v>6260303.3499999996</v>
          </cell>
        </row>
        <row r="59">
          <cell r="A59" t="str">
            <v>Buenos Aires</v>
          </cell>
          <cell r="B59" t="str">
            <v xml:space="preserve">M  </v>
          </cell>
          <cell r="C59" t="str">
            <v>3.25 a 29</v>
          </cell>
          <cell r="D59">
            <v>320</v>
          </cell>
          <cell r="E59">
            <v>15864013.07</v>
          </cell>
        </row>
        <row r="60">
          <cell r="A60" t="str">
            <v>Buenos Aires</v>
          </cell>
          <cell r="B60" t="str">
            <v xml:space="preserve">M  </v>
          </cell>
          <cell r="C60" t="str">
            <v>4.30 a 34</v>
          </cell>
          <cell r="D60">
            <v>368</v>
          </cell>
          <cell r="E60">
            <v>21383797.27</v>
          </cell>
        </row>
        <row r="61">
          <cell r="A61" t="str">
            <v>Buenos Aires</v>
          </cell>
          <cell r="B61" t="str">
            <v xml:space="preserve">M  </v>
          </cell>
          <cell r="C61" t="str">
            <v>5.35 a 39</v>
          </cell>
          <cell r="D61">
            <v>397</v>
          </cell>
          <cell r="E61">
            <v>25720392.48</v>
          </cell>
        </row>
        <row r="62">
          <cell r="A62" t="str">
            <v>Buenos Aires</v>
          </cell>
          <cell r="B62" t="str">
            <v xml:space="preserve">M  </v>
          </cell>
          <cell r="C62" t="str">
            <v>6.40 a 44</v>
          </cell>
          <cell r="D62">
            <v>341</v>
          </cell>
          <cell r="E62">
            <v>23496577.140000001</v>
          </cell>
        </row>
        <row r="63">
          <cell r="A63" t="str">
            <v>Buenos Aires</v>
          </cell>
          <cell r="B63" t="str">
            <v xml:space="preserve">M  </v>
          </cell>
          <cell r="C63" t="str">
            <v>7.45 a 49</v>
          </cell>
          <cell r="D63">
            <v>319</v>
          </cell>
          <cell r="E63">
            <v>25473554.100000001</v>
          </cell>
        </row>
        <row r="64">
          <cell r="A64" t="str">
            <v>Buenos Aires</v>
          </cell>
          <cell r="B64" t="str">
            <v xml:space="preserve">M  </v>
          </cell>
          <cell r="C64" t="str">
            <v>8.50 a 54</v>
          </cell>
          <cell r="D64">
            <v>276</v>
          </cell>
          <cell r="E64">
            <v>25717117.09</v>
          </cell>
        </row>
        <row r="65">
          <cell r="A65" t="str">
            <v>Buenos Aires</v>
          </cell>
          <cell r="B65" t="str">
            <v xml:space="preserve">M  </v>
          </cell>
          <cell r="C65" t="str">
            <v>9.55 a 59</v>
          </cell>
          <cell r="D65">
            <v>311</v>
          </cell>
          <cell r="E65">
            <v>32168674.460000001</v>
          </cell>
        </row>
        <row r="66">
          <cell r="A66" t="str">
            <v>Buenos Aires</v>
          </cell>
          <cell r="B66" t="str">
            <v xml:space="preserve">M  </v>
          </cell>
          <cell r="C66" t="str">
            <v>A.60 a 64</v>
          </cell>
          <cell r="D66">
            <v>244</v>
          </cell>
          <cell r="E66">
            <v>26234215.739999998</v>
          </cell>
        </row>
        <row r="67">
          <cell r="A67" t="str">
            <v>Buenos Aires</v>
          </cell>
          <cell r="B67" t="str">
            <v xml:space="preserve">M  </v>
          </cell>
          <cell r="C67" t="str">
            <v>B.65 y más</v>
          </cell>
          <cell r="D67">
            <v>66</v>
          </cell>
          <cell r="E67">
            <v>7106981.9400000004</v>
          </cell>
        </row>
        <row r="68">
          <cell r="A68" t="str">
            <v>Buenos Aires</v>
          </cell>
          <cell r="B68" t="str">
            <v xml:space="preserve">M  </v>
          </cell>
          <cell r="C68" t="str">
            <v>X.No Informada</v>
          </cell>
          <cell r="D68">
            <v>2</v>
          </cell>
          <cell r="E68">
            <v>212240.98</v>
          </cell>
        </row>
        <row r="69">
          <cell r="A69" t="str">
            <v>Buenos Aires</v>
          </cell>
          <cell r="B69" t="str">
            <v>Tot</v>
          </cell>
          <cell r="C69" t="str">
            <v>0. TOTAL</v>
          </cell>
          <cell r="D69">
            <v>3836</v>
          </cell>
          <cell r="E69">
            <v>272937519.29000002</v>
          </cell>
        </row>
        <row r="70">
          <cell r="A70" t="str">
            <v>Buenos Aires</v>
          </cell>
          <cell r="B70" t="str">
            <v>Tot</v>
          </cell>
          <cell r="C70" t="str">
            <v>1.Hasta 24</v>
          </cell>
          <cell r="D70">
            <v>186</v>
          </cell>
          <cell r="E70">
            <v>7931534</v>
          </cell>
        </row>
        <row r="71">
          <cell r="A71" t="str">
            <v>Buenos Aires</v>
          </cell>
          <cell r="B71" t="str">
            <v>Tot</v>
          </cell>
          <cell r="C71" t="str">
            <v>3.25 a 29</v>
          </cell>
          <cell r="D71">
            <v>443</v>
          </cell>
          <cell r="E71">
            <v>21222023.879999999</v>
          </cell>
        </row>
        <row r="72">
          <cell r="A72" t="str">
            <v>Buenos Aires</v>
          </cell>
          <cell r="B72" t="str">
            <v>Tot</v>
          </cell>
          <cell r="C72" t="str">
            <v>4.30 a 34</v>
          </cell>
          <cell r="D72">
            <v>564</v>
          </cell>
          <cell r="E72">
            <v>31252044.579999998</v>
          </cell>
        </row>
        <row r="73">
          <cell r="A73" t="str">
            <v>Buenos Aires</v>
          </cell>
          <cell r="B73" t="str">
            <v>Tot</v>
          </cell>
          <cell r="C73" t="str">
            <v>5.35 a 39</v>
          </cell>
          <cell r="D73">
            <v>581</v>
          </cell>
          <cell r="E73">
            <v>36243336.770000003</v>
          </cell>
        </row>
        <row r="74">
          <cell r="A74" t="str">
            <v>Buenos Aires</v>
          </cell>
          <cell r="B74" t="str">
            <v>Tot</v>
          </cell>
          <cell r="C74" t="str">
            <v>6.40 a 44</v>
          </cell>
          <cell r="D74">
            <v>503</v>
          </cell>
          <cell r="E74">
            <v>33607147.030000001</v>
          </cell>
        </row>
        <row r="75">
          <cell r="A75" t="str">
            <v>Buenos Aires</v>
          </cell>
          <cell r="B75" t="str">
            <v>Tot</v>
          </cell>
          <cell r="C75" t="str">
            <v>7.45 a 49</v>
          </cell>
          <cell r="D75">
            <v>448</v>
          </cell>
          <cell r="E75">
            <v>34523013.799999997</v>
          </cell>
        </row>
        <row r="76">
          <cell r="A76" t="str">
            <v>Buenos Aires</v>
          </cell>
          <cell r="B76" t="str">
            <v>Tot</v>
          </cell>
          <cell r="C76" t="str">
            <v>8.50 a 54</v>
          </cell>
          <cell r="D76">
            <v>366</v>
          </cell>
          <cell r="E76">
            <v>32300595.41</v>
          </cell>
        </row>
        <row r="77">
          <cell r="A77" t="str">
            <v>Buenos Aires</v>
          </cell>
          <cell r="B77" t="str">
            <v>Tot</v>
          </cell>
          <cell r="C77" t="str">
            <v>9.55 a 59</v>
          </cell>
          <cell r="D77">
            <v>377</v>
          </cell>
          <cell r="E77">
            <v>37179465.280000001</v>
          </cell>
        </row>
        <row r="78">
          <cell r="A78" t="str">
            <v>Buenos Aires</v>
          </cell>
          <cell r="B78" t="str">
            <v>Tot</v>
          </cell>
          <cell r="C78" t="str">
            <v>A.60 a 64</v>
          </cell>
          <cell r="D78">
            <v>280</v>
          </cell>
          <cell r="E78">
            <v>29987303.489999998</v>
          </cell>
        </row>
        <row r="79">
          <cell r="A79" t="str">
            <v>Buenos Aires</v>
          </cell>
          <cell r="B79" t="str">
            <v>Tot</v>
          </cell>
          <cell r="C79" t="str">
            <v>B.65 y más</v>
          </cell>
          <cell r="D79">
            <v>80</v>
          </cell>
          <cell r="E79">
            <v>8073367.5999999996</v>
          </cell>
        </row>
        <row r="80">
          <cell r="A80" t="str">
            <v>Buenos Aires</v>
          </cell>
          <cell r="B80" t="str">
            <v>Tot</v>
          </cell>
          <cell r="C80" t="str">
            <v>X.No Informada</v>
          </cell>
          <cell r="D80">
            <v>8</v>
          </cell>
          <cell r="E80">
            <v>617687.44999999995</v>
          </cell>
        </row>
        <row r="81">
          <cell r="A81" t="str">
            <v>Catamarca</v>
          </cell>
          <cell r="B81" t="str">
            <v xml:space="preserve">F  </v>
          </cell>
          <cell r="C81" t="str">
            <v>0. TOTAL</v>
          </cell>
          <cell r="D81">
            <v>16166</v>
          </cell>
          <cell r="E81">
            <v>400708186.72000003</v>
          </cell>
        </row>
        <row r="82">
          <cell r="A82" t="str">
            <v>Catamarca</v>
          </cell>
          <cell r="B82" t="str">
            <v xml:space="preserve">F  </v>
          </cell>
          <cell r="C82" t="str">
            <v>1.Hasta 24</v>
          </cell>
          <cell r="D82">
            <v>290</v>
          </cell>
          <cell r="E82">
            <v>3009754.71</v>
          </cell>
        </row>
        <row r="83">
          <cell r="A83" t="str">
            <v>Catamarca</v>
          </cell>
          <cell r="B83" t="str">
            <v xml:space="preserve">F  </v>
          </cell>
          <cell r="C83" t="str">
            <v>3.25 a 29</v>
          </cell>
          <cell r="D83">
            <v>1105</v>
          </cell>
          <cell r="E83">
            <v>17476810.43</v>
          </cell>
        </row>
        <row r="84">
          <cell r="A84" t="str">
            <v>Catamarca</v>
          </cell>
          <cell r="B84" t="str">
            <v xml:space="preserve">F  </v>
          </cell>
          <cell r="C84" t="str">
            <v>4.30 a 34</v>
          </cell>
          <cell r="D84">
            <v>2012</v>
          </cell>
          <cell r="E84">
            <v>39029020.310000002</v>
          </cell>
        </row>
        <row r="85">
          <cell r="A85" t="str">
            <v>Catamarca</v>
          </cell>
          <cell r="B85" t="str">
            <v xml:space="preserve">F  </v>
          </cell>
          <cell r="C85" t="str">
            <v>5.35 a 39</v>
          </cell>
          <cell r="D85">
            <v>2622</v>
          </cell>
          <cell r="E85">
            <v>58729732.5</v>
          </cell>
        </row>
        <row r="86">
          <cell r="A86" t="str">
            <v>Catamarca</v>
          </cell>
          <cell r="B86" t="str">
            <v xml:space="preserve">F  </v>
          </cell>
          <cell r="C86" t="str">
            <v>6.40 a 44</v>
          </cell>
          <cell r="D86">
            <v>2871</v>
          </cell>
          <cell r="E86">
            <v>71225041.480000004</v>
          </cell>
        </row>
        <row r="87">
          <cell r="A87" t="str">
            <v>Catamarca</v>
          </cell>
          <cell r="B87" t="str">
            <v xml:space="preserve">F  </v>
          </cell>
          <cell r="C87" t="str">
            <v>7.45 a 49</v>
          </cell>
          <cell r="D87">
            <v>2211</v>
          </cell>
          <cell r="E87">
            <v>60554100.149999999</v>
          </cell>
        </row>
        <row r="88">
          <cell r="A88" t="str">
            <v>Catamarca</v>
          </cell>
          <cell r="B88" t="str">
            <v xml:space="preserve">F  </v>
          </cell>
          <cell r="C88" t="str">
            <v>8.50 a 54</v>
          </cell>
          <cell r="D88">
            <v>1980</v>
          </cell>
          <cell r="E88">
            <v>55907631.990000002</v>
          </cell>
        </row>
        <row r="89">
          <cell r="A89" t="str">
            <v>Catamarca</v>
          </cell>
          <cell r="B89" t="str">
            <v xml:space="preserve">F  </v>
          </cell>
          <cell r="C89" t="str">
            <v>9.55 a 59</v>
          </cell>
          <cell r="D89">
            <v>1910</v>
          </cell>
          <cell r="E89">
            <v>59278449.789999999</v>
          </cell>
        </row>
        <row r="90">
          <cell r="A90" t="str">
            <v>Catamarca</v>
          </cell>
          <cell r="B90" t="str">
            <v xml:space="preserve">F  </v>
          </cell>
          <cell r="C90" t="str">
            <v>A.60 a 64</v>
          </cell>
          <cell r="D90">
            <v>785</v>
          </cell>
          <cell r="E90">
            <v>25390819.109999999</v>
          </cell>
        </row>
        <row r="91">
          <cell r="A91" t="str">
            <v>Catamarca</v>
          </cell>
          <cell r="B91" t="str">
            <v xml:space="preserve">F  </v>
          </cell>
          <cell r="C91" t="str">
            <v>B.65 y más</v>
          </cell>
          <cell r="D91">
            <v>249</v>
          </cell>
          <cell r="E91">
            <v>7445256.6200000001</v>
          </cell>
        </row>
        <row r="92">
          <cell r="A92" t="str">
            <v>Catamarca</v>
          </cell>
          <cell r="B92" t="str">
            <v xml:space="preserve">F  </v>
          </cell>
          <cell r="C92" t="str">
            <v>X.No Informada</v>
          </cell>
          <cell r="D92">
            <v>131</v>
          </cell>
          <cell r="E92">
            <v>2661569.63</v>
          </cell>
        </row>
        <row r="93">
          <cell r="A93" t="str">
            <v>Catamarca</v>
          </cell>
          <cell r="B93" t="str">
            <v xml:space="preserve">M  </v>
          </cell>
          <cell r="C93" t="str">
            <v>0. TOTAL</v>
          </cell>
          <cell r="D93">
            <v>25145</v>
          </cell>
          <cell r="E93">
            <v>540512951.34000003</v>
          </cell>
        </row>
        <row r="94">
          <cell r="A94" t="str">
            <v>Catamarca</v>
          </cell>
          <cell r="B94" t="str">
            <v xml:space="preserve">M  </v>
          </cell>
          <cell r="C94" t="str">
            <v>1.Hasta 24</v>
          </cell>
          <cell r="D94">
            <v>494</v>
          </cell>
          <cell r="E94">
            <v>6746150.25</v>
          </cell>
        </row>
        <row r="95">
          <cell r="A95" t="str">
            <v>Catamarca</v>
          </cell>
          <cell r="B95" t="str">
            <v xml:space="preserve">M  </v>
          </cell>
          <cell r="C95" t="str">
            <v>3.25 a 29</v>
          </cell>
          <cell r="D95">
            <v>1736</v>
          </cell>
          <cell r="E95">
            <v>24505607.18</v>
          </cell>
        </row>
        <row r="96">
          <cell r="A96" t="str">
            <v>Catamarca</v>
          </cell>
          <cell r="B96" t="str">
            <v xml:space="preserve">M  </v>
          </cell>
          <cell r="C96" t="str">
            <v>4.30 a 34</v>
          </cell>
          <cell r="D96">
            <v>2871</v>
          </cell>
          <cell r="E96">
            <v>54364677.119999997</v>
          </cell>
        </row>
        <row r="97">
          <cell r="A97" t="str">
            <v>Catamarca</v>
          </cell>
          <cell r="B97" t="str">
            <v xml:space="preserve">M  </v>
          </cell>
          <cell r="C97" t="str">
            <v>5.35 a 39</v>
          </cell>
          <cell r="D97">
            <v>3447</v>
          </cell>
          <cell r="E97">
            <v>71299315.359999999</v>
          </cell>
        </row>
        <row r="98">
          <cell r="A98" t="str">
            <v>Catamarca</v>
          </cell>
          <cell r="B98" t="str">
            <v xml:space="preserve">M  </v>
          </cell>
          <cell r="C98" t="str">
            <v>6.40 a 44</v>
          </cell>
          <cell r="D98">
            <v>3785</v>
          </cell>
          <cell r="E98">
            <v>78660974.400000006</v>
          </cell>
        </row>
        <row r="99">
          <cell r="A99" t="str">
            <v>Catamarca</v>
          </cell>
          <cell r="B99" t="str">
            <v xml:space="preserve">M  </v>
          </cell>
          <cell r="C99" t="str">
            <v>7.45 a 49</v>
          </cell>
          <cell r="D99">
            <v>3282</v>
          </cell>
          <cell r="E99">
            <v>68129127.290000007</v>
          </cell>
        </row>
        <row r="100">
          <cell r="A100" t="str">
            <v>Catamarca</v>
          </cell>
          <cell r="B100" t="str">
            <v xml:space="preserve">M  </v>
          </cell>
          <cell r="C100" t="str">
            <v>8.50 a 54</v>
          </cell>
          <cell r="D100">
            <v>3068</v>
          </cell>
          <cell r="E100">
            <v>64835544.060000002</v>
          </cell>
        </row>
        <row r="101">
          <cell r="A101" t="str">
            <v>Catamarca</v>
          </cell>
          <cell r="B101" t="str">
            <v xml:space="preserve">M  </v>
          </cell>
          <cell r="C101" t="str">
            <v>9.55 a 59</v>
          </cell>
          <cell r="D101">
            <v>3079</v>
          </cell>
          <cell r="E101">
            <v>79495559.480000004</v>
          </cell>
        </row>
        <row r="102">
          <cell r="A102" t="str">
            <v>Catamarca</v>
          </cell>
          <cell r="B102" t="str">
            <v xml:space="preserve">M  </v>
          </cell>
          <cell r="C102" t="str">
            <v>A.60 a 64</v>
          </cell>
          <cell r="D102">
            <v>2562</v>
          </cell>
          <cell r="E102">
            <v>68158580.010000005</v>
          </cell>
        </row>
        <row r="103">
          <cell r="A103" t="str">
            <v>Catamarca</v>
          </cell>
          <cell r="B103" t="str">
            <v xml:space="preserve">M  </v>
          </cell>
          <cell r="C103" t="str">
            <v>B.65 y más</v>
          </cell>
          <cell r="D103">
            <v>807</v>
          </cell>
          <cell r="E103">
            <v>23976588.899999999</v>
          </cell>
        </row>
        <row r="104">
          <cell r="A104" t="str">
            <v>Catamarca</v>
          </cell>
          <cell r="B104" t="str">
            <v xml:space="preserve">M  </v>
          </cell>
          <cell r="C104" t="str">
            <v>X.No Informada</v>
          </cell>
          <cell r="D104">
            <v>14</v>
          </cell>
          <cell r="E104">
            <v>340827.29</v>
          </cell>
        </row>
        <row r="105">
          <cell r="A105" t="str">
            <v>Catamarca</v>
          </cell>
          <cell r="B105" t="str">
            <v>Tot</v>
          </cell>
          <cell r="C105" t="str">
            <v>0. TOTAL</v>
          </cell>
          <cell r="D105">
            <v>41338</v>
          </cell>
          <cell r="E105">
            <v>941550308.14999998</v>
          </cell>
        </row>
        <row r="106">
          <cell r="A106" t="str">
            <v>Catamarca</v>
          </cell>
          <cell r="B106" t="str">
            <v>Tot</v>
          </cell>
          <cell r="C106" t="str">
            <v>1.Hasta 24</v>
          </cell>
          <cell r="D106">
            <v>784</v>
          </cell>
          <cell r="E106">
            <v>9755904.9600000009</v>
          </cell>
        </row>
        <row r="107">
          <cell r="A107" t="str">
            <v>Catamarca</v>
          </cell>
          <cell r="B107" t="str">
            <v>Tot</v>
          </cell>
          <cell r="C107" t="str">
            <v>3.25 a 29</v>
          </cell>
          <cell r="D107">
            <v>2841</v>
          </cell>
          <cell r="E107">
            <v>41982417.609999999</v>
          </cell>
        </row>
        <row r="108">
          <cell r="A108" t="str">
            <v>Catamarca</v>
          </cell>
          <cell r="B108" t="str">
            <v>Tot</v>
          </cell>
          <cell r="C108" t="str">
            <v>4.30 a 34</v>
          </cell>
          <cell r="D108">
            <v>4883</v>
          </cell>
          <cell r="E108">
            <v>93393697.430000007</v>
          </cell>
        </row>
        <row r="109">
          <cell r="A109" t="str">
            <v>Catamarca</v>
          </cell>
          <cell r="B109" t="str">
            <v>Tot</v>
          </cell>
          <cell r="C109" t="str">
            <v>5.35 a 39</v>
          </cell>
          <cell r="D109">
            <v>6069</v>
          </cell>
          <cell r="E109">
            <v>130029047.86</v>
          </cell>
        </row>
        <row r="110">
          <cell r="A110" t="str">
            <v>Catamarca</v>
          </cell>
          <cell r="B110" t="str">
            <v>Tot</v>
          </cell>
          <cell r="C110" t="str">
            <v>6.40 a 44</v>
          </cell>
          <cell r="D110">
            <v>6656</v>
          </cell>
          <cell r="E110">
            <v>149886015.88</v>
          </cell>
        </row>
        <row r="111">
          <cell r="A111" t="str">
            <v>Catamarca</v>
          </cell>
          <cell r="B111" t="str">
            <v>Tot</v>
          </cell>
          <cell r="C111" t="str">
            <v>7.45 a 49</v>
          </cell>
          <cell r="D111">
            <v>5494</v>
          </cell>
          <cell r="E111">
            <v>128755148.86</v>
          </cell>
        </row>
        <row r="112">
          <cell r="A112" t="str">
            <v>Catamarca</v>
          </cell>
          <cell r="B112" t="str">
            <v>Tot</v>
          </cell>
          <cell r="C112" t="str">
            <v>8.50 a 54</v>
          </cell>
          <cell r="D112">
            <v>5048</v>
          </cell>
          <cell r="E112">
            <v>120743176.05</v>
          </cell>
        </row>
        <row r="113">
          <cell r="A113" t="str">
            <v>Catamarca</v>
          </cell>
          <cell r="B113" t="str">
            <v>Tot</v>
          </cell>
          <cell r="C113" t="str">
            <v>9.55 a 59</v>
          </cell>
          <cell r="D113">
            <v>4989</v>
          </cell>
          <cell r="E113">
            <v>138774009.27000001</v>
          </cell>
        </row>
        <row r="114">
          <cell r="A114" t="str">
            <v>Catamarca</v>
          </cell>
          <cell r="B114" t="str">
            <v>Tot</v>
          </cell>
          <cell r="C114" t="str">
            <v>A.60 a 64</v>
          </cell>
          <cell r="D114">
            <v>3347</v>
          </cell>
          <cell r="E114">
            <v>93549399.120000005</v>
          </cell>
        </row>
        <row r="115">
          <cell r="A115" t="str">
            <v>Catamarca</v>
          </cell>
          <cell r="B115" t="str">
            <v>Tot</v>
          </cell>
          <cell r="C115" t="str">
            <v>B.65 y más</v>
          </cell>
          <cell r="D115">
            <v>1056</v>
          </cell>
          <cell r="E115">
            <v>31421845.52</v>
          </cell>
        </row>
        <row r="116">
          <cell r="A116" t="str">
            <v>Catamarca</v>
          </cell>
          <cell r="B116" t="str">
            <v>Tot</v>
          </cell>
          <cell r="C116" t="str">
            <v>X.No Informada</v>
          </cell>
          <cell r="D116">
            <v>171</v>
          </cell>
          <cell r="E116">
            <v>3259645.59</v>
          </cell>
        </row>
        <row r="117">
          <cell r="A117" t="str">
            <v>Catamarca</v>
          </cell>
          <cell r="B117" t="str">
            <v xml:space="preserve">x  </v>
          </cell>
          <cell r="C117" t="str">
            <v>0. TOTAL</v>
          </cell>
          <cell r="D117">
            <v>27</v>
          </cell>
          <cell r="E117">
            <v>329170.09000000003</v>
          </cell>
        </row>
        <row r="118">
          <cell r="A118" t="str">
            <v>Catamarca</v>
          </cell>
          <cell r="B118" t="str">
            <v xml:space="preserve">x  </v>
          </cell>
          <cell r="C118" t="str">
            <v>7.45 a 49</v>
          </cell>
          <cell r="D118">
            <v>1</v>
          </cell>
          <cell r="E118">
            <v>71921.42</v>
          </cell>
        </row>
        <row r="119">
          <cell r="A119" t="str">
            <v>Catamarca</v>
          </cell>
          <cell r="B119" t="str">
            <v xml:space="preserve">x  </v>
          </cell>
          <cell r="C119" t="str">
            <v>X.No Informada</v>
          </cell>
          <cell r="D119">
            <v>26</v>
          </cell>
          <cell r="E119">
            <v>257248.67</v>
          </cell>
        </row>
        <row r="120">
          <cell r="A120" t="str">
            <v>Chaco</v>
          </cell>
          <cell r="B120" t="str">
            <v xml:space="preserve">F  </v>
          </cell>
          <cell r="C120" t="str">
            <v>0. TOTAL</v>
          </cell>
          <cell r="D120">
            <v>87</v>
          </cell>
          <cell r="E120">
            <v>3919048.63</v>
          </cell>
        </row>
        <row r="121">
          <cell r="A121" t="str">
            <v>Chaco</v>
          </cell>
          <cell r="B121" t="str">
            <v xml:space="preserve">F  </v>
          </cell>
          <cell r="C121" t="str">
            <v>1.Hasta 24</v>
          </cell>
          <cell r="D121">
            <v>4</v>
          </cell>
          <cell r="E121">
            <v>130491.06</v>
          </cell>
        </row>
        <row r="122">
          <cell r="A122" t="str">
            <v>Chaco</v>
          </cell>
          <cell r="B122" t="str">
            <v xml:space="preserve">F  </v>
          </cell>
          <cell r="C122" t="str">
            <v>3.25 a 29</v>
          </cell>
          <cell r="D122">
            <v>11</v>
          </cell>
          <cell r="E122">
            <v>461341.35</v>
          </cell>
        </row>
        <row r="123">
          <cell r="A123" t="str">
            <v>Chaco</v>
          </cell>
          <cell r="B123" t="str">
            <v xml:space="preserve">F  </v>
          </cell>
          <cell r="C123" t="str">
            <v>4.30 a 34</v>
          </cell>
          <cell r="D123">
            <v>13</v>
          </cell>
          <cell r="E123">
            <v>470932.44</v>
          </cell>
        </row>
        <row r="124">
          <cell r="A124" t="str">
            <v>Chaco</v>
          </cell>
          <cell r="B124" t="str">
            <v xml:space="preserve">F  </v>
          </cell>
          <cell r="C124" t="str">
            <v>5.35 a 39</v>
          </cell>
          <cell r="D124">
            <v>4</v>
          </cell>
          <cell r="E124">
            <v>388570.29</v>
          </cell>
        </row>
        <row r="125">
          <cell r="A125" t="str">
            <v>Chaco</v>
          </cell>
          <cell r="B125" t="str">
            <v xml:space="preserve">F  </v>
          </cell>
          <cell r="C125" t="str">
            <v>6.40 a 44</v>
          </cell>
          <cell r="D125">
            <v>1</v>
          </cell>
          <cell r="E125">
            <v>30596.19</v>
          </cell>
        </row>
        <row r="126">
          <cell r="A126" t="str">
            <v>Chaco</v>
          </cell>
          <cell r="B126" t="str">
            <v xml:space="preserve">F  </v>
          </cell>
          <cell r="C126" t="str">
            <v>7.45 a 49</v>
          </cell>
          <cell r="D126">
            <v>8</v>
          </cell>
          <cell r="E126">
            <v>435685.21</v>
          </cell>
        </row>
        <row r="127">
          <cell r="A127" t="str">
            <v>Chaco</v>
          </cell>
          <cell r="B127" t="str">
            <v xml:space="preserve">F  </v>
          </cell>
          <cell r="C127" t="str">
            <v>8.50 a 54</v>
          </cell>
          <cell r="D127">
            <v>7</v>
          </cell>
          <cell r="E127">
            <v>345945.16</v>
          </cell>
        </row>
        <row r="128">
          <cell r="A128" t="str">
            <v>Chaco</v>
          </cell>
          <cell r="B128" t="str">
            <v xml:space="preserve">F  </v>
          </cell>
          <cell r="C128" t="str">
            <v>9.55 a 59</v>
          </cell>
          <cell r="D128">
            <v>14</v>
          </cell>
          <cell r="E128">
            <v>802685.12</v>
          </cell>
        </row>
        <row r="129">
          <cell r="A129" t="str">
            <v>Chaco</v>
          </cell>
          <cell r="B129" t="str">
            <v xml:space="preserve">F  </v>
          </cell>
          <cell r="C129" t="str">
            <v>A.60 a 64</v>
          </cell>
          <cell r="D129">
            <v>4</v>
          </cell>
          <cell r="E129">
            <v>105826.25</v>
          </cell>
        </row>
        <row r="130">
          <cell r="A130" t="str">
            <v>Chaco</v>
          </cell>
          <cell r="B130" t="str">
            <v xml:space="preserve">F  </v>
          </cell>
          <cell r="C130" t="str">
            <v>B.65 y más</v>
          </cell>
          <cell r="D130">
            <v>21</v>
          </cell>
          <cell r="E130">
            <v>746975.56</v>
          </cell>
        </row>
        <row r="131">
          <cell r="A131" t="str">
            <v>Chaco</v>
          </cell>
          <cell r="B131" t="str">
            <v xml:space="preserve">M  </v>
          </cell>
          <cell r="C131" t="str">
            <v>0. TOTAL</v>
          </cell>
          <cell r="D131">
            <v>225</v>
          </cell>
          <cell r="E131">
            <v>13420826.880000001</v>
          </cell>
        </row>
        <row r="132">
          <cell r="A132" t="str">
            <v>Chaco</v>
          </cell>
          <cell r="B132" t="str">
            <v xml:space="preserve">M  </v>
          </cell>
          <cell r="C132" t="str">
            <v>1.Hasta 24</v>
          </cell>
          <cell r="D132">
            <v>15</v>
          </cell>
          <cell r="E132">
            <v>417502.11</v>
          </cell>
        </row>
        <row r="133">
          <cell r="A133" t="str">
            <v>Chaco</v>
          </cell>
          <cell r="B133" t="str">
            <v xml:space="preserve">M  </v>
          </cell>
          <cell r="C133" t="str">
            <v>3.25 a 29</v>
          </cell>
          <cell r="D133">
            <v>23</v>
          </cell>
          <cell r="E133">
            <v>829733.64</v>
          </cell>
        </row>
        <row r="134">
          <cell r="A134" t="str">
            <v>Chaco</v>
          </cell>
          <cell r="B134" t="str">
            <v xml:space="preserve">M  </v>
          </cell>
          <cell r="C134" t="str">
            <v>4.30 a 34</v>
          </cell>
          <cell r="D134">
            <v>40</v>
          </cell>
          <cell r="E134">
            <v>1782644.85</v>
          </cell>
        </row>
        <row r="135">
          <cell r="A135" t="str">
            <v>Chaco</v>
          </cell>
          <cell r="B135" t="str">
            <v xml:space="preserve">M  </v>
          </cell>
          <cell r="C135" t="str">
            <v>5.35 a 39</v>
          </cell>
          <cell r="D135">
            <v>38</v>
          </cell>
          <cell r="E135">
            <v>2242685.6</v>
          </cell>
        </row>
        <row r="136">
          <cell r="A136" t="str">
            <v>Chaco</v>
          </cell>
          <cell r="B136" t="str">
            <v xml:space="preserve">M  </v>
          </cell>
          <cell r="C136" t="str">
            <v>6.40 a 44</v>
          </cell>
          <cell r="D136">
            <v>26</v>
          </cell>
          <cell r="E136">
            <v>1651986.46</v>
          </cell>
        </row>
        <row r="137">
          <cell r="A137" t="str">
            <v>Chaco</v>
          </cell>
          <cell r="B137" t="str">
            <v xml:space="preserve">M  </v>
          </cell>
          <cell r="C137" t="str">
            <v>7.45 a 49</v>
          </cell>
          <cell r="D137">
            <v>8</v>
          </cell>
          <cell r="E137">
            <v>590098.6</v>
          </cell>
        </row>
        <row r="138">
          <cell r="A138" t="str">
            <v>Chaco</v>
          </cell>
          <cell r="B138" t="str">
            <v xml:space="preserve">M  </v>
          </cell>
          <cell r="C138" t="str">
            <v>8.50 a 54</v>
          </cell>
          <cell r="D138">
            <v>28</v>
          </cell>
          <cell r="E138">
            <v>2128107.9500000002</v>
          </cell>
        </row>
        <row r="139">
          <cell r="A139" t="str">
            <v>Chaco</v>
          </cell>
          <cell r="B139" t="str">
            <v xml:space="preserve">M  </v>
          </cell>
          <cell r="C139" t="str">
            <v>9.55 a 59</v>
          </cell>
          <cell r="D139">
            <v>20</v>
          </cell>
          <cell r="E139">
            <v>2187724.75</v>
          </cell>
        </row>
        <row r="140">
          <cell r="A140" t="str">
            <v>Chaco</v>
          </cell>
          <cell r="B140" t="str">
            <v xml:space="preserve">M  </v>
          </cell>
          <cell r="C140" t="str">
            <v>A.60 a 64</v>
          </cell>
          <cell r="D140">
            <v>12</v>
          </cell>
          <cell r="E140">
            <v>999376.33</v>
          </cell>
        </row>
        <row r="141">
          <cell r="A141" t="str">
            <v>Chaco</v>
          </cell>
          <cell r="B141" t="str">
            <v xml:space="preserve">M  </v>
          </cell>
          <cell r="C141" t="str">
            <v>B.65 y más</v>
          </cell>
          <cell r="D141">
            <v>15</v>
          </cell>
          <cell r="E141">
            <v>590966.59</v>
          </cell>
        </row>
        <row r="142">
          <cell r="A142" t="str">
            <v>Chaco</v>
          </cell>
          <cell r="B142" t="str">
            <v>Tot</v>
          </cell>
          <cell r="C142" t="str">
            <v>0. TOTAL</v>
          </cell>
          <cell r="D142">
            <v>312</v>
          </cell>
          <cell r="E142">
            <v>17339875.510000002</v>
          </cell>
        </row>
        <row r="143">
          <cell r="A143" t="str">
            <v>Chaco</v>
          </cell>
          <cell r="B143" t="str">
            <v>Tot</v>
          </cell>
          <cell r="C143" t="str">
            <v>1.Hasta 24</v>
          </cell>
          <cell r="D143">
            <v>19</v>
          </cell>
          <cell r="E143">
            <v>547993.17000000004</v>
          </cell>
        </row>
        <row r="144">
          <cell r="A144" t="str">
            <v>Chaco</v>
          </cell>
          <cell r="B144" t="str">
            <v>Tot</v>
          </cell>
          <cell r="C144" t="str">
            <v>3.25 a 29</v>
          </cell>
          <cell r="D144">
            <v>34</v>
          </cell>
          <cell r="E144">
            <v>1291074.99</v>
          </cell>
        </row>
        <row r="145">
          <cell r="A145" t="str">
            <v>Chaco</v>
          </cell>
          <cell r="B145" t="str">
            <v>Tot</v>
          </cell>
          <cell r="C145" t="str">
            <v>4.30 a 34</v>
          </cell>
          <cell r="D145">
            <v>53</v>
          </cell>
          <cell r="E145">
            <v>2253577.29</v>
          </cell>
        </row>
        <row r="146">
          <cell r="A146" t="str">
            <v>Chaco</v>
          </cell>
          <cell r="B146" t="str">
            <v>Tot</v>
          </cell>
          <cell r="C146" t="str">
            <v>5.35 a 39</v>
          </cell>
          <cell r="D146">
            <v>42</v>
          </cell>
          <cell r="E146">
            <v>2631255.89</v>
          </cell>
        </row>
        <row r="147">
          <cell r="A147" t="str">
            <v>Chaco</v>
          </cell>
          <cell r="B147" t="str">
            <v>Tot</v>
          </cell>
          <cell r="C147" t="str">
            <v>6.40 a 44</v>
          </cell>
          <cell r="D147">
            <v>27</v>
          </cell>
          <cell r="E147">
            <v>1682582.65</v>
          </cell>
        </row>
        <row r="148">
          <cell r="A148" t="str">
            <v>Chaco</v>
          </cell>
          <cell r="B148" t="str">
            <v>Tot</v>
          </cell>
          <cell r="C148" t="str">
            <v>7.45 a 49</v>
          </cell>
          <cell r="D148">
            <v>16</v>
          </cell>
          <cell r="E148">
            <v>1025783.81</v>
          </cell>
        </row>
        <row r="149">
          <cell r="A149" t="str">
            <v>Chaco</v>
          </cell>
          <cell r="B149" t="str">
            <v>Tot</v>
          </cell>
          <cell r="C149" t="str">
            <v>8.50 a 54</v>
          </cell>
          <cell r="D149">
            <v>35</v>
          </cell>
          <cell r="E149">
            <v>2474053.11</v>
          </cell>
        </row>
        <row r="150">
          <cell r="A150" t="str">
            <v>Chaco</v>
          </cell>
          <cell r="B150" t="str">
            <v>Tot</v>
          </cell>
          <cell r="C150" t="str">
            <v>9.55 a 59</v>
          </cell>
          <cell r="D150">
            <v>34</v>
          </cell>
          <cell r="E150">
            <v>2990409.87</v>
          </cell>
        </row>
        <row r="151">
          <cell r="A151" t="str">
            <v>Chaco</v>
          </cell>
          <cell r="B151" t="str">
            <v>Tot</v>
          </cell>
          <cell r="C151" t="str">
            <v>A.60 a 64</v>
          </cell>
          <cell r="D151">
            <v>16</v>
          </cell>
          <cell r="E151">
            <v>1105202.58</v>
          </cell>
        </row>
        <row r="152">
          <cell r="A152" t="str">
            <v>Chaco</v>
          </cell>
          <cell r="B152" t="str">
            <v>Tot</v>
          </cell>
          <cell r="C152" t="str">
            <v>B.65 y más</v>
          </cell>
          <cell r="D152">
            <v>36</v>
          </cell>
          <cell r="E152">
            <v>1337942.1499999999</v>
          </cell>
        </row>
        <row r="153">
          <cell r="A153" t="str">
            <v>Chubut</v>
          </cell>
          <cell r="B153" t="str">
            <v xml:space="preserve">F  </v>
          </cell>
          <cell r="C153" t="str">
            <v>0. TOTAL</v>
          </cell>
          <cell r="D153">
            <v>161</v>
          </cell>
          <cell r="E153">
            <v>11740815.369999999</v>
          </cell>
        </row>
        <row r="154">
          <cell r="A154" t="str">
            <v>Chubut</v>
          </cell>
          <cell r="B154" t="str">
            <v xml:space="preserve">F  </v>
          </cell>
          <cell r="C154" t="str">
            <v>1.Hasta 24</v>
          </cell>
          <cell r="D154">
            <v>8</v>
          </cell>
          <cell r="E154">
            <v>344710.64</v>
          </cell>
        </row>
        <row r="155">
          <cell r="A155" t="str">
            <v>Chubut</v>
          </cell>
          <cell r="B155" t="str">
            <v xml:space="preserve">F  </v>
          </cell>
          <cell r="C155" t="str">
            <v>3.25 a 29</v>
          </cell>
          <cell r="D155">
            <v>20</v>
          </cell>
          <cell r="E155">
            <v>1037821.33</v>
          </cell>
        </row>
        <row r="156">
          <cell r="A156" t="str">
            <v>Chubut</v>
          </cell>
          <cell r="B156" t="str">
            <v xml:space="preserve">F  </v>
          </cell>
          <cell r="C156" t="str">
            <v>4.30 a 34</v>
          </cell>
          <cell r="D156">
            <v>32</v>
          </cell>
          <cell r="E156">
            <v>2133790.4</v>
          </cell>
        </row>
        <row r="157">
          <cell r="A157" t="str">
            <v>Chubut</v>
          </cell>
          <cell r="B157" t="str">
            <v xml:space="preserve">F  </v>
          </cell>
          <cell r="C157" t="str">
            <v>5.35 a 39</v>
          </cell>
          <cell r="D157">
            <v>26</v>
          </cell>
          <cell r="E157">
            <v>1789066.49</v>
          </cell>
        </row>
        <row r="158">
          <cell r="A158" t="str">
            <v>Chubut</v>
          </cell>
          <cell r="B158" t="str">
            <v xml:space="preserve">F  </v>
          </cell>
          <cell r="C158" t="str">
            <v>6.40 a 44</v>
          </cell>
          <cell r="D158">
            <v>32</v>
          </cell>
          <cell r="E158">
            <v>2468649.09</v>
          </cell>
        </row>
        <row r="159">
          <cell r="A159" t="str">
            <v>Chubut</v>
          </cell>
          <cell r="B159" t="str">
            <v xml:space="preserve">F  </v>
          </cell>
          <cell r="C159" t="str">
            <v>7.45 a 49</v>
          </cell>
          <cell r="D159">
            <v>17</v>
          </cell>
          <cell r="E159">
            <v>1514230.36</v>
          </cell>
        </row>
        <row r="160">
          <cell r="A160" t="str">
            <v>Chubut</v>
          </cell>
          <cell r="B160" t="str">
            <v xml:space="preserve">F  </v>
          </cell>
          <cell r="C160" t="str">
            <v>8.50 a 54</v>
          </cell>
          <cell r="D160">
            <v>8</v>
          </cell>
          <cell r="E160">
            <v>881095.55</v>
          </cell>
        </row>
        <row r="161">
          <cell r="A161" t="str">
            <v>Chubut</v>
          </cell>
          <cell r="B161" t="str">
            <v xml:space="preserve">F  </v>
          </cell>
          <cell r="C161" t="str">
            <v>9.55 a 59</v>
          </cell>
          <cell r="D161">
            <v>12</v>
          </cell>
          <cell r="E161">
            <v>1229954.7</v>
          </cell>
        </row>
        <row r="162">
          <cell r="A162" t="str">
            <v>Chubut</v>
          </cell>
          <cell r="B162" t="str">
            <v xml:space="preserve">F  </v>
          </cell>
          <cell r="C162" t="str">
            <v>A.60 a 64</v>
          </cell>
          <cell r="D162">
            <v>3</v>
          </cell>
          <cell r="E162">
            <v>196594.32</v>
          </cell>
        </row>
        <row r="163">
          <cell r="A163" t="str">
            <v>Chubut</v>
          </cell>
          <cell r="B163" t="str">
            <v xml:space="preserve">F  </v>
          </cell>
          <cell r="C163" t="str">
            <v>B.65 y más</v>
          </cell>
          <cell r="D163">
            <v>1</v>
          </cell>
          <cell r="E163">
            <v>82775.05</v>
          </cell>
        </row>
        <row r="164">
          <cell r="A164" t="str">
            <v>Chubut</v>
          </cell>
          <cell r="B164" t="str">
            <v xml:space="preserve">F  </v>
          </cell>
          <cell r="C164" t="str">
            <v>X.No Informada</v>
          </cell>
          <cell r="D164">
            <v>2</v>
          </cell>
          <cell r="E164">
            <v>62127.44</v>
          </cell>
        </row>
        <row r="165">
          <cell r="A165" t="str">
            <v>Chubut</v>
          </cell>
          <cell r="B165" t="str">
            <v xml:space="preserve">M  </v>
          </cell>
          <cell r="C165" t="str">
            <v>0. TOTAL</v>
          </cell>
          <cell r="D165">
            <v>242</v>
          </cell>
          <cell r="E165">
            <v>23756426.18</v>
          </cell>
        </row>
        <row r="166">
          <cell r="A166" t="str">
            <v>Chubut</v>
          </cell>
          <cell r="B166" t="str">
            <v xml:space="preserve">M  </v>
          </cell>
          <cell r="C166" t="str">
            <v>1.Hasta 24</v>
          </cell>
          <cell r="D166">
            <v>13</v>
          </cell>
          <cell r="E166">
            <v>598098.80000000005</v>
          </cell>
        </row>
        <row r="167">
          <cell r="A167" t="str">
            <v>Chubut</v>
          </cell>
          <cell r="B167" t="str">
            <v xml:space="preserve">M  </v>
          </cell>
          <cell r="C167" t="str">
            <v>3.25 a 29</v>
          </cell>
          <cell r="D167">
            <v>28</v>
          </cell>
          <cell r="E167">
            <v>1645948.21</v>
          </cell>
        </row>
        <row r="168">
          <cell r="A168" t="str">
            <v>Chubut</v>
          </cell>
          <cell r="B168" t="str">
            <v xml:space="preserve">M  </v>
          </cell>
          <cell r="C168" t="str">
            <v>4.30 a 34</v>
          </cell>
          <cell r="D168">
            <v>32</v>
          </cell>
          <cell r="E168">
            <v>2398504.3199999998</v>
          </cell>
        </row>
        <row r="169">
          <cell r="A169" t="str">
            <v>Chubut</v>
          </cell>
          <cell r="B169" t="str">
            <v xml:space="preserve">M  </v>
          </cell>
          <cell r="C169" t="str">
            <v>5.35 a 39</v>
          </cell>
          <cell r="D169">
            <v>30</v>
          </cell>
          <cell r="E169">
            <v>2283847.27</v>
          </cell>
        </row>
        <row r="170">
          <cell r="A170" t="str">
            <v>Chubut</v>
          </cell>
          <cell r="B170" t="str">
            <v xml:space="preserve">M  </v>
          </cell>
          <cell r="C170" t="str">
            <v>6.40 a 44</v>
          </cell>
          <cell r="D170">
            <v>40</v>
          </cell>
          <cell r="E170">
            <v>3838616.18</v>
          </cell>
        </row>
        <row r="171">
          <cell r="A171" t="str">
            <v>Chubut</v>
          </cell>
          <cell r="B171" t="str">
            <v xml:space="preserve">M  </v>
          </cell>
          <cell r="C171" t="str">
            <v>7.45 a 49</v>
          </cell>
          <cell r="D171">
            <v>26</v>
          </cell>
          <cell r="E171">
            <v>3040439.11</v>
          </cell>
        </row>
        <row r="172">
          <cell r="A172" t="str">
            <v>Chubut</v>
          </cell>
          <cell r="B172" t="str">
            <v xml:space="preserve">M  </v>
          </cell>
          <cell r="C172" t="str">
            <v>8.50 a 54</v>
          </cell>
          <cell r="D172">
            <v>25</v>
          </cell>
          <cell r="E172">
            <v>3117888.32</v>
          </cell>
        </row>
        <row r="173">
          <cell r="A173" t="str">
            <v>Chubut</v>
          </cell>
          <cell r="B173" t="str">
            <v xml:space="preserve">M  </v>
          </cell>
          <cell r="C173" t="str">
            <v>9.55 a 59</v>
          </cell>
          <cell r="D173">
            <v>29</v>
          </cell>
          <cell r="E173">
            <v>3502439.89</v>
          </cell>
        </row>
        <row r="174">
          <cell r="A174" t="str">
            <v>Chubut</v>
          </cell>
          <cell r="B174" t="str">
            <v xml:space="preserve">M  </v>
          </cell>
          <cell r="C174" t="str">
            <v>A.60 a 64</v>
          </cell>
          <cell r="D174">
            <v>13</v>
          </cell>
          <cell r="E174">
            <v>2481196.5</v>
          </cell>
        </row>
        <row r="175">
          <cell r="A175" t="str">
            <v>Chubut</v>
          </cell>
          <cell r="B175" t="str">
            <v xml:space="preserve">M  </v>
          </cell>
          <cell r="C175" t="str">
            <v>B.65 y más</v>
          </cell>
          <cell r="D175">
            <v>6</v>
          </cell>
          <cell r="E175">
            <v>849447.58</v>
          </cell>
        </row>
        <row r="176">
          <cell r="A176" t="str">
            <v>Chubut</v>
          </cell>
          <cell r="B176" t="str">
            <v>Tot</v>
          </cell>
          <cell r="C176" t="str">
            <v>0. TOTAL</v>
          </cell>
          <cell r="D176">
            <v>403</v>
          </cell>
          <cell r="E176">
            <v>35497241.549999997</v>
          </cell>
        </row>
        <row r="177">
          <cell r="A177" t="str">
            <v>Chubut</v>
          </cell>
          <cell r="B177" t="str">
            <v>Tot</v>
          </cell>
          <cell r="C177" t="str">
            <v>1.Hasta 24</v>
          </cell>
          <cell r="D177">
            <v>21</v>
          </cell>
          <cell r="E177">
            <v>942809.44</v>
          </cell>
        </row>
        <row r="178">
          <cell r="A178" t="str">
            <v>Chubut</v>
          </cell>
          <cell r="B178" t="str">
            <v>Tot</v>
          </cell>
          <cell r="C178" t="str">
            <v>3.25 a 29</v>
          </cell>
          <cell r="D178">
            <v>48</v>
          </cell>
          <cell r="E178">
            <v>2683769.54</v>
          </cell>
        </row>
        <row r="179">
          <cell r="A179" t="str">
            <v>Chubut</v>
          </cell>
          <cell r="B179" t="str">
            <v>Tot</v>
          </cell>
          <cell r="C179" t="str">
            <v>4.30 a 34</v>
          </cell>
          <cell r="D179">
            <v>64</v>
          </cell>
          <cell r="E179">
            <v>4532294.72</v>
          </cell>
        </row>
        <row r="180">
          <cell r="A180" t="str">
            <v>Chubut</v>
          </cell>
          <cell r="B180" t="str">
            <v>Tot</v>
          </cell>
          <cell r="C180" t="str">
            <v>5.35 a 39</v>
          </cell>
          <cell r="D180">
            <v>56</v>
          </cell>
          <cell r="E180">
            <v>4072913.76</v>
          </cell>
        </row>
        <row r="181">
          <cell r="A181" t="str">
            <v>Chubut</v>
          </cell>
          <cell r="B181" t="str">
            <v>Tot</v>
          </cell>
          <cell r="C181" t="str">
            <v>6.40 a 44</v>
          </cell>
          <cell r="D181">
            <v>72</v>
          </cell>
          <cell r="E181">
            <v>6307265.2699999996</v>
          </cell>
        </row>
        <row r="182">
          <cell r="A182" t="str">
            <v>Chubut</v>
          </cell>
          <cell r="B182" t="str">
            <v>Tot</v>
          </cell>
          <cell r="C182" t="str">
            <v>7.45 a 49</v>
          </cell>
          <cell r="D182">
            <v>43</v>
          </cell>
          <cell r="E182">
            <v>4554669.47</v>
          </cell>
        </row>
        <row r="183">
          <cell r="A183" t="str">
            <v>Chubut</v>
          </cell>
          <cell r="B183" t="str">
            <v>Tot</v>
          </cell>
          <cell r="C183" t="str">
            <v>8.50 a 54</v>
          </cell>
          <cell r="D183">
            <v>33</v>
          </cell>
          <cell r="E183">
            <v>3998983.87</v>
          </cell>
        </row>
        <row r="184">
          <cell r="A184" t="str">
            <v>Chubut</v>
          </cell>
          <cell r="B184" t="str">
            <v>Tot</v>
          </cell>
          <cell r="C184" t="str">
            <v>9.55 a 59</v>
          </cell>
          <cell r="D184">
            <v>41</v>
          </cell>
          <cell r="E184">
            <v>4732394.59</v>
          </cell>
        </row>
        <row r="185">
          <cell r="A185" t="str">
            <v>Chubut</v>
          </cell>
          <cell r="B185" t="str">
            <v>Tot</v>
          </cell>
          <cell r="C185" t="str">
            <v>A.60 a 64</v>
          </cell>
          <cell r="D185">
            <v>16</v>
          </cell>
          <cell r="E185">
            <v>2677790.8199999998</v>
          </cell>
        </row>
        <row r="186">
          <cell r="A186" t="str">
            <v>Chubut</v>
          </cell>
          <cell r="B186" t="str">
            <v>Tot</v>
          </cell>
          <cell r="C186" t="str">
            <v>B.65 y más</v>
          </cell>
          <cell r="D186">
            <v>7</v>
          </cell>
          <cell r="E186">
            <v>932222.63</v>
          </cell>
        </row>
        <row r="187">
          <cell r="A187" t="str">
            <v>Chubut</v>
          </cell>
          <cell r="B187" t="str">
            <v>Tot</v>
          </cell>
          <cell r="C187" t="str">
            <v>X.No Informada</v>
          </cell>
          <cell r="D187">
            <v>2</v>
          </cell>
          <cell r="E187">
            <v>62127.44</v>
          </cell>
        </row>
        <row r="188">
          <cell r="A188" t="str">
            <v>Córdoba</v>
          </cell>
          <cell r="B188" t="str">
            <v xml:space="preserve">F  </v>
          </cell>
          <cell r="C188" t="str">
            <v>0. TOTAL</v>
          </cell>
          <cell r="D188">
            <v>385</v>
          </cell>
          <cell r="E188">
            <v>20572011.550000001</v>
          </cell>
        </row>
        <row r="189">
          <cell r="A189" t="str">
            <v>Córdoba</v>
          </cell>
          <cell r="B189" t="str">
            <v xml:space="preserve">F  </v>
          </cell>
          <cell r="C189" t="str">
            <v>1.Hasta 24</v>
          </cell>
          <cell r="D189">
            <v>12</v>
          </cell>
          <cell r="E189">
            <v>534508.78</v>
          </cell>
        </row>
        <row r="190">
          <cell r="A190" t="str">
            <v>Córdoba</v>
          </cell>
          <cell r="B190" t="str">
            <v xml:space="preserve">F  </v>
          </cell>
          <cell r="C190" t="str">
            <v>3.25 a 29</v>
          </cell>
          <cell r="D190">
            <v>39</v>
          </cell>
          <cell r="E190">
            <v>1711702.25</v>
          </cell>
        </row>
        <row r="191">
          <cell r="A191" t="str">
            <v>Córdoba</v>
          </cell>
          <cell r="B191" t="str">
            <v xml:space="preserve">F  </v>
          </cell>
          <cell r="C191" t="str">
            <v>4.30 a 34</v>
          </cell>
          <cell r="D191">
            <v>57</v>
          </cell>
          <cell r="E191">
            <v>2984006.59</v>
          </cell>
        </row>
        <row r="192">
          <cell r="A192" t="str">
            <v>Córdoba</v>
          </cell>
          <cell r="B192" t="str">
            <v xml:space="preserve">F  </v>
          </cell>
          <cell r="C192" t="str">
            <v>5.35 a 39</v>
          </cell>
          <cell r="D192">
            <v>51</v>
          </cell>
          <cell r="E192">
            <v>2203643.09</v>
          </cell>
        </row>
        <row r="193">
          <cell r="A193" t="str">
            <v>Córdoba</v>
          </cell>
          <cell r="B193" t="str">
            <v xml:space="preserve">F  </v>
          </cell>
          <cell r="C193" t="str">
            <v>6.40 a 44</v>
          </cell>
          <cell r="D193">
            <v>81</v>
          </cell>
          <cell r="E193">
            <v>4496266.6900000004</v>
          </cell>
        </row>
        <row r="194">
          <cell r="A194" t="str">
            <v>Córdoba</v>
          </cell>
          <cell r="B194" t="str">
            <v xml:space="preserve">F  </v>
          </cell>
          <cell r="C194" t="str">
            <v>7.45 a 49</v>
          </cell>
          <cell r="D194">
            <v>58</v>
          </cell>
          <cell r="E194">
            <v>3187305.23</v>
          </cell>
        </row>
        <row r="195">
          <cell r="A195" t="str">
            <v>Córdoba</v>
          </cell>
          <cell r="B195" t="str">
            <v xml:space="preserve">F  </v>
          </cell>
          <cell r="C195" t="str">
            <v>8.50 a 54</v>
          </cell>
          <cell r="D195">
            <v>40</v>
          </cell>
          <cell r="E195">
            <v>2312437.11</v>
          </cell>
        </row>
        <row r="196">
          <cell r="A196" t="str">
            <v>Córdoba</v>
          </cell>
          <cell r="B196" t="str">
            <v xml:space="preserve">F  </v>
          </cell>
          <cell r="C196" t="str">
            <v>9.55 a 59</v>
          </cell>
          <cell r="D196">
            <v>28</v>
          </cell>
          <cell r="E196">
            <v>1871288.8</v>
          </cell>
        </row>
        <row r="197">
          <cell r="A197" t="str">
            <v>Córdoba</v>
          </cell>
          <cell r="B197" t="str">
            <v xml:space="preserve">F  </v>
          </cell>
          <cell r="C197" t="str">
            <v>A.60 a 64</v>
          </cell>
          <cell r="D197">
            <v>12</v>
          </cell>
          <cell r="E197">
            <v>805700.57</v>
          </cell>
        </row>
        <row r="198">
          <cell r="A198" t="str">
            <v>Córdoba</v>
          </cell>
          <cell r="B198" t="str">
            <v xml:space="preserve">F  </v>
          </cell>
          <cell r="C198" t="str">
            <v>B.65 y más</v>
          </cell>
          <cell r="D198">
            <v>2</v>
          </cell>
          <cell r="E198">
            <v>136555.65</v>
          </cell>
        </row>
        <row r="199">
          <cell r="A199" t="str">
            <v>Córdoba</v>
          </cell>
          <cell r="B199" t="str">
            <v xml:space="preserve">F  </v>
          </cell>
          <cell r="C199" t="str">
            <v>X.No Informada</v>
          </cell>
          <cell r="D199">
            <v>5</v>
          </cell>
          <cell r="E199">
            <v>328596.78999999998</v>
          </cell>
        </row>
        <row r="200">
          <cell r="A200" t="str">
            <v>Córdoba</v>
          </cell>
          <cell r="B200" t="str">
            <v xml:space="preserve">M  </v>
          </cell>
          <cell r="C200" t="str">
            <v>0. TOTAL</v>
          </cell>
          <cell r="D200">
            <v>1771</v>
          </cell>
          <cell r="E200">
            <v>98889249.260000005</v>
          </cell>
        </row>
        <row r="201">
          <cell r="A201" t="str">
            <v>Córdoba</v>
          </cell>
          <cell r="B201" t="str">
            <v xml:space="preserve">M  </v>
          </cell>
          <cell r="C201" t="str">
            <v>1.Hasta 24</v>
          </cell>
          <cell r="D201">
            <v>58</v>
          </cell>
          <cell r="E201">
            <v>2487289.3199999998</v>
          </cell>
        </row>
        <row r="202">
          <cell r="A202" t="str">
            <v>Córdoba</v>
          </cell>
          <cell r="B202" t="str">
            <v xml:space="preserve">M  </v>
          </cell>
          <cell r="C202" t="str">
            <v>3.25 a 29</v>
          </cell>
          <cell r="D202">
            <v>124</v>
          </cell>
          <cell r="E202">
            <v>6200385.4500000002</v>
          </cell>
        </row>
        <row r="203">
          <cell r="A203" t="str">
            <v>Córdoba</v>
          </cell>
          <cell r="B203" t="str">
            <v xml:space="preserve">M  </v>
          </cell>
          <cell r="C203" t="str">
            <v>4.30 a 34</v>
          </cell>
          <cell r="D203">
            <v>192</v>
          </cell>
          <cell r="E203">
            <v>9788408.2200000007</v>
          </cell>
        </row>
        <row r="204">
          <cell r="A204" t="str">
            <v>Córdoba</v>
          </cell>
          <cell r="B204" t="str">
            <v xml:space="preserve">M  </v>
          </cell>
          <cell r="C204" t="str">
            <v>5.35 a 39</v>
          </cell>
          <cell r="D204">
            <v>241</v>
          </cell>
          <cell r="E204">
            <v>11388866.550000001</v>
          </cell>
        </row>
        <row r="205">
          <cell r="A205" t="str">
            <v>Córdoba</v>
          </cell>
          <cell r="B205" t="str">
            <v xml:space="preserve">M  </v>
          </cell>
          <cell r="C205" t="str">
            <v>6.40 a 44</v>
          </cell>
          <cell r="D205">
            <v>268</v>
          </cell>
          <cell r="E205">
            <v>14466530.789999999</v>
          </cell>
        </row>
        <row r="206">
          <cell r="A206" t="str">
            <v>Córdoba</v>
          </cell>
          <cell r="B206" t="str">
            <v xml:space="preserve">M  </v>
          </cell>
          <cell r="C206" t="str">
            <v>7.45 a 49</v>
          </cell>
          <cell r="D206">
            <v>293</v>
          </cell>
          <cell r="E206">
            <v>16708605.310000001</v>
          </cell>
        </row>
        <row r="207">
          <cell r="A207" t="str">
            <v>Córdoba</v>
          </cell>
          <cell r="B207" t="str">
            <v xml:space="preserve">M  </v>
          </cell>
          <cell r="C207" t="str">
            <v>8.50 a 54</v>
          </cell>
          <cell r="D207">
            <v>204</v>
          </cell>
          <cell r="E207">
            <v>12929672.050000001</v>
          </cell>
        </row>
        <row r="208">
          <cell r="A208" t="str">
            <v>Córdoba</v>
          </cell>
          <cell r="B208" t="str">
            <v xml:space="preserve">M  </v>
          </cell>
          <cell r="C208" t="str">
            <v>9.55 a 59</v>
          </cell>
          <cell r="D208">
            <v>191</v>
          </cell>
          <cell r="E208">
            <v>12797162.01</v>
          </cell>
        </row>
        <row r="209">
          <cell r="A209" t="str">
            <v>Córdoba</v>
          </cell>
          <cell r="B209" t="str">
            <v xml:space="preserve">M  </v>
          </cell>
          <cell r="C209" t="str">
            <v>A.60 a 64</v>
          </cell>
          <cell r="D209">
            <v>128</v>
          </cell>
          <cell r="E209">
            <v>7793899.8700000001</v>
          </cell>
        </row>
        <row r="210">
          <cell r="A210" t="str">
            <v>Córdoba</v>
          </cell>
          <cell r="B210" t="str">
            <v xml:space="preserve">M  </v>
          </cell>
          <cell r="C210" t="str">
            <v>B.65 y más</v>
          </cell>
          <cell r="D210">
            <v>72</v>
          </cell>
          <cell r="E210">
            <v>4328429.6900000004</v>
          </cell>
        </row>
        <row r="211">
          <cell r="A211" t="str">
            <v>Córdoba</v>
          </cell>
          <cell r="B211" t="str">
            <v>Tot</v>
          </cell>
          <cell r="C211" t="str">
            <v>0. TOTAL</v>
          </cell>
          <cell r="D211">
            <v>2158</v>
          </cell>
          <cell r="E211">
            <v>119470879.56999999</v>
          </cell>
        </row>
        <row r="212">
          <cell r="A212" t="str">
            <v>Córdoba</v>
          </cell>
          <cell r="B212" t="str">
            <v>Tot</v>
          </cell>
          <cell r="C212" t="str">
            <v>1.Hasta 24</v>
          </cell>
          <cell r="D212">
            <v>70</v>
          </cell>
          <cell r="E212">
            <v>3021798.1</v>
          </cell>
        </row>
        <row r="213">
          <cell r="A213" t="str">
            <v>Córdoba</v>
          </cell>
          <cell r="B213" t="str">
            <v>Tot</v>
          </cell>
          <cell r="C213" t="str">
            <v>3.25 a 29</v>
          </cell>
          <cell r="D213">
            <v>163</v>
          </cell>
          <cell r="E213">
            <v>7912087.7000000002</v>
          </cell>
        </row>
        <row r="214">
          <cell r="A214" t="str">
            <v>Córdoba</v>
          </cell>
          <cell r="B214" t="str">
            <v>Tot</v>
          </cell>
          <cell r="C214" t="str">
            <v>4.30 a 34</v>
          </cell>
          <cell r="D214">
            <v>249</v>
          </cell>
          <cell r="E214">
            <v>12772414.810000001</v>
          </cell>
        </row>
        <row r="215">
          <cell r="A215" t="str">
            <v>Córdoba</v>
          </cell>
          <cell r="B215" t="str">
            <v>Tot</v>
          </cell>
          <cell r="C215" t="str">
            <v>5.35 a 39</v>
          </cell>
          <cell r="D215">
            <v>293</v>
          </cell>
          <cell r="E215">
            <v>13597319.02</v>
          </cell>
        </row>
        <row r="216">
          <cell r="A216" t="str">
            <v>Córdoba</v>
          </cell>
          <cell r="B216" t="str">
            <v>Tot</v>
          </cell>
          <cell r="C216" t="str">
            <v>6.40 a 44</v>
          </cell>
          <cell r="D216">
            <v>349</v>
          </cell>
          <cell r="E216">
            <v>18962797.48</v>
          </cell>
        </row>
        <row r="217">
          <cell r="A217" t="str">
            <v>Córdoba</v>
          </cell>
          <cell r="B217" t="str">
            <v>Tot</v>
          </cell>
          <cell r="C217" t="str">
            <v>7.45 a 49</v>
          </cell>
          <cell r="D217">
            <v>351</v>
          </cell>
          <cell r="E217">
            <v>19895910.539999999</v>
          </cell>
        </row>
        <row r="218">
          <cell r="A218" t="str">
            <v>Córdoba</v>
          </cell>
          <cell r="B218" t="str">
            <v>Tot</v>
          </cell>
          <cell r="C218" t="str">
            <v>8.50 a 54</v>
          </cell>
          <cell r="D218">
            <v>244</v>
          </cell>
          <cell r="E218">
            <v>15242109.16</v>
          </cell>
        </row>
        <row r="219">
          <cell r="A219" t="str">
            <v>Córdoba</v>
          </cell>
          <cell r="B219" t="str">
            <v>Tot</v>
          </cell>
          <cell r="C219" t="str">
            <v>9.55 a 59</v>
          </cell>
          <cell r="D219">
            <v>219</v>
          </cell>
          <cell r="E219">
            <v>14668450.810000001</v>
          </cell>
        </row>
        <row r="220">
          <cell r="A220" t="str">
            <v>Córdoba</v>
          </cell>
          <cell r="B220" t="str">
            <v>Tot</v>
          </cell>
          <cell r="C220" t="str">
            <v>A.60 a 64</v>
          </cell>
          <cell r="D220">
            <v>140</v>
          </cell>
          <cell r="E220">
            <v>8599600.4399999995</v>
          </cell>
        </row>
        <row r="221">
          <cell r="A221" t="str">
            <v>Córdoba</v>
          </cell>
          <cell r="B221" t="str">
            <v>Tot</v>
          </cell>
          <cell r="C221" t="str">
            <v>B.65 y más</v>
          </cell>
          <cell r="D221">
            <v>74</v>
          </cell>
          <cell r="E221">
            <v>4464985.34</v>
          </cell>
        </row>
        <row r="222">
          <cell r="A222" t="str">
            <v>Córdoba</v>
          </cell>
          <cell r="B222" t="str">
            <v>Tot</v>
          </cell>
          <cell r="C222" t="str">
            <v>X.No Informada</v>
          </cell>
          <cell r="D222">
            <v>6</v>
          </cell>
          <cell r="E222">
            <v>333406.17</v>
          </cell>
        </row>
        <row r="223">
          <cell r="A223" t="str">
            <v>Córdoba</v>
          </cell>
          <cell r="B223" t="str">
            <v xml:space="preserve">x  </v>
          </cell>
          <cell r="C223" t="str">
            <v>0. TOTAL</v>
          </cell>
          <cell r="D223">
            <v>2</v>
          </cell>
          <cell r="E223">
            <v>9618.76</v>
          </cell>
        </row>
        <row r="224">
          <cell r="A224" t="str">
            <v>Córdoba</v>
          </cell>
          <cell r="B224" t="str">
            <v xml:space="preserve">x  </v>
          </cell>
          <cell r="C224" t="str">
            <v>5.35 a 39</v>
          </cell>
          <cell r="D224">
            <v>1</v>
          </cell>
          <cell r="E224">
            <v>4809.38</v>
          </cell>
        </row>
        <row r="225">
          <cell r="A225" t="str">
            <v>Córdoba</v>
          </cell>
          <cell r="B225" t="str">
            <v xml:space="preserve">x  </v>
          </cell>
          <cell r="C225" t="str">
            <v>X.No Informada</v>
          </cell>
          <cell r="D225">
            <v>1</v>
          </cell>
          <cell r="E225">
            <v>4809.38</v>
          </cell>
        </row>
        <row r="226">
          <cell r="A226" t="str">
            <v>Corrientes</v>
          </cell>
          <cell r="B226" t="str">
            <v xml:space="preserve">F  </v>
          </cell>
          <cell r="C226" t="str">
            <v>0. TOTAL</v>
          </cell>
          <cell r="D226">
            <v>11</v>
          </cell>
          <cell r="E226">
            <v>382535.82</v>
          </cell>
        </row>
        <row r="227">
          <cell r="A227" t="str">
            <v>Corrientes</v>
          </cell>
          <cell r="B227" t="str">
            <v xml:space="preserve">F  </v>
          </cell>
          <cell r="C227" t="str">
            <v>3.25 a 29</v>
          </cell>
          <cell r="D227">
            <v>2</v>
          </cell>
          <cell r="E227">
            <v>64096.35</v>
          </cell>
        </row>
        <row r="228">
          <cell r="A228" t="str">
            <v>Corrientes</v>
          </cell>
          <cell r="B228" t="str">
            <v xml:space="preserve">F  </v>
          </cell>
          <cell r="C228" t="str">
            <v>4.30 a 34</v>
          </cell>
          <cell r="D228">
            <v>2</v>
          </cell>
          <cell r="E228">
            <v>84698.41</v>
          </cell>
        </row>
        <row r="229">
          <cell r="A229" t="str">
            <v>Corrientes</v>
          </cell>
          <cell r="B229" t="str">
            <v xml:space="preserve">F  </v>
          </cell>
          <cell r="C229" t="str">
            <v>5.35 a 39</v>
          </cell>
          <cell r="D229">
            <v>2</v>
          </cell>
          <cell r="E229">
            <v>81479.41</v>
          </cell>
        </row>
        <row r="230">
          <cell r="A230" t="str">
            <v>Corrientes</v>
          </cell>
          <cell r="B230" t="str">
            <v xml:space="preserve">F  </v>
          </cell>
          <cell r="C230" t="str">
            <v>6.40 a 44</v>
          </cell>
          <cell r="D230">
            <v>2</v>
          </cell>
          <cell r="E230">
            <v>59289.77</v>
          </cell>
        </row>
        <row r="231">
          <cell r="A231" t="str">
            <v>Corrientes</v>
          </cell>
          <cell r="B231" t="str">
            <v xml:space="preserve">F  </v>
          </cell>
          <cell r="C231" t="str">
            <v>8.50 a 54</v>
          </cell>
          <cell r="D231">
            <v>2</v>
          </cell>
          <cell r="E231">
            <v>36630.480000000003</v>
          </cell>
        </row>
        <row r="232">
          <cell r="A232" t="str">
            <v>Corrientes</v>
          </cell>
          <cell r="B232" t="str">
            <v xml:space="preserve">F  </v>
          </cell>
          <cell r="C232" t="str">
            <v>B.65 y más</v>
          </cell>
          <cell r="D232">
            <v>1</v>
          </cell>
          <cell r="E232">
            <v>56341.4</v>
          </cell>
        </row>
        <row r="233">
          <cell r="A233" t="str">
            <v>Corrientes</v>
          </cell>
          <cell r="B233" t="str">
            <v xml:space="preserve">M  </v>
          </cell>
          <cell r="C233" t="str">
            <v>0. TOTAL</v>
          </cell>
          <cell r="D233">
            <v>8</v>
          </cell>
          <cell r="E233">
            <v>310939.90999999997</v>
          </cell>
        </row>
        <row r="234">
          <cell r="A234" t="str">
            <v>Corrientes</v>
          </cell>
          <cell r="B234" t="str">
            <v xml:space="preserve">M  </v>
          </cell>
          <cell r="C234" t="str">
            <v>4.30 a 34</v>
          </cell>
          <cell r="D234">
            <v>2</v>
          </cell>
          <cell r="E234">
            <v>134398.28</v>
          </cell>
        </row>
        <row r="235">
          <cell r="A235" t="str">
            <v>Corrientes</v>
          </cell>
          <cell r="B235" t="str">
            <v xml:space="preserve">M  </v>
          </cell>
          <cell r="C235" t="str">
            <v>5.35 a 39</v>
          </cell>
          <cell r="D235">
            <v>2</v>
          </cell>
          <cell r="E235">
            <v>53051.040000000001</v>
          </cell>
        </row>
        <row r="236">
          <cell r="A236" t="str">
            <v>Corrientes</v>
          </cell>
          <cell r="B236" t="str">
            <v xml:space="preserve">M  </v>
          </cell>
          <cell r="C236" t="str">
            <v>6.40 a 44</v>
          </cell>
          <cell r="D236">
            <v>3</v>
          </cell>
          <cell r="E236">
            <v>105175.35</v>
          </cell>
        </row>
        <row r="237">
          <cell r="A237" t="str">
            <v>Corrientes</v>
          </cell>
          <cell r="B237" t="str">
            <v xml:space="preserve">M  </v>
          </cell>
          <cell r="C237" t="str">
            <v>A.60 a 64</v>
          </cell>
          <cell r="D237">
            <v>1</v>
          </cell>
          <cell r="E237">
            <v>18315.240000000002</v>
          </cell>
        </row>
        <row r="238">
          <cell r="A238" t="str">
            <v>Corrientes</v>
          </cell>
          <cell r="B238" t="str">
            <v>Tot</v>
          </cell>
          <cell r="C238" t="str">
            <v>0. TOTAL</v>
          </cell>
          <cell r="D238">
            <v>19</v>
          </cell>
          <cell r="E238">
            <v>693475.73</v>
          </cell>
        </row>
        <row r="239">
          <cell r="A239" t="str">
            <v>Corrientes</v>
          </cell>
          <cell r="B239" t="str">
            <v>Tot</v>
          </cell>
          <cell r="C239" t="str">
            <v>3.25 a 29</v>
          </cell>
          <cell r="D239">
            <v>2</v>
          </cell>
          <cell r="E239">
            <v>64096.35</v>
          </cell>
        </row>
        <row r="240">
          <cell r="A240" t="str">
            <v>Corrientes</v>
          </cell>
          <cell r="B240" t="str">
            <v>Tot</v>
          </cell>
          <cell r="C240" t="str">
            <v>4.30 a 34</v>
          </cell>
          <cell r="D240">
            <v>4</v>
          </cell>
          <cell r="E240">
            <v>219096.69</v>
          </cell>
        </row>
        <row r="241">
          <cell r="A241" t="str">
            <v>Corrientes</v>
          </cell>
          <cell r="B241" t="str">
            <v>Tot</v>
          </cell>
          <cell r="C241" t="str">
            <v>5.35 a 39</v>
          </cell>
          <cell r="D241">
            <v>4</v>
          </cell>
          <cell r="E241">
            <v>134530.45000000001</v>
          </cell>
        </row>
        <row r="242">
          <cell r="A242" t="str">
            <v>Corrientes</v>
          </cell>
          <cell r="B242" t="str">
            <v>Tot</v>
          </cell>
          <cell r="C242" t="str">
            <v>6.40 a 44</v>
          </cell>
          <cell r="D242">
            <v>5</v>
          </cell>
          <cell r="E242">
            <v>164465.12</v>
          </cell>
        </row>
        <row r="243">
          <cell r="A243" t="str">
            <v>Corrientes</v>
          </cell>
          <cell r="B243" t="str">
            <v>Tot</v>
          </cell>
          <cell r="C243" t="str">
            <v>8.50 a 54</v>
          </cell>
          <cell r="D243">
            <v>2</v>
          </cell>
          <cell r="E243">
            <v>36630.480000000003</v>
          </cell>
        </row>
        <row r="244">
          <cell r="A244" t="str">
            <v>Corrientes</v>
          </cell>
          <cell r="B244" t="str">
            <v>Tot</v>
          </cell>
          <cell r="C244" t="str">
            <v>A.60 a 64</v>
          </cell>
          <cell r="D244">
            <v>1</v>
          </cell>
          <cell r="E244">
            <v>18315.240000000002</v>
          </cell>
        </row>
        <row r="245">
          <cell r="A245" t="str">
            <v>Corrientes</v>
          </cell>
          <cell r="B245" t="str">
            <v>Tot</v>
          </cell>
          <cell r="C245" t="str">
            <v>B.65 y más</v>
          </cell>
          <cell r="D245">
            <v>1</v>
          </cell>
          <cell r="E245">
            <v>56341.4</v>
          </cell>
        </row>
        <row r="246">
          <cell r="A246" t="str">
            <v>Entre Ríos</v>
          </cell>
          <cell r="B246" t="str">
            <v xml:space="preserve">F  </v>
          </cell>
          <cell r="C246" t="str">
            <v>0. TOTAL</v>
          </cell>
          <cell r="D246">
            <v>115</v>
          </cell>
          <cell r="E246">
            <v>6680781.04</v>
          </cell>
        </row>
        <row r="247">
          <cell r="A247" t="str">
            <v>Entre Ríos</v>
          </cell>
          <cell r="B247" t="str">
            <v xml:space="preserve">F  </v>
          </cell>
          <cell r="C247" t="str">
            <v>1.Hasta 24</v>
          </cell>
          <cell r="D247">
            <v>3</v>
          </cell>
          <cell r="E247">
            <v>84979.9</v>
          </cell>
        </row>
        <row r="248">
          <cell r="A248" t="str">
            <v>Entre Ríos</v>
          </cell>
          <cell r="B248" t="str">
            <v xml:space="preserve">F  </v>
          </cell>
          <cell r="C248" t="str">
            <v>3.25 a 29</v>
          </cell>
          <cell r="D248">
            <v>26</v>
          </cell>
          <cell r="E248">
            <v>991510.9</v>
          </cell>
        </row>
        <row r="249">
          <cell r="A249" t="str">
            <v>Entre Ríos</v>
          </cell>
          <cell r="B249" t="str">
            <v xml:space="preserve">F  </v>
          </cell>
          <cell r="C249" t="str">
            <v>4.30 a 34</v>
          </cell>
          <cell r="D249">
            <v>29</v>
          </cell>
          <cell r="E249">
            <v>1348112.61</v>
          </cell>
        </row>
        <row r="250">
          <cell r="A250" t="str">
            <v>Entre Ríos</v>
          </cell>
          <cell r="B250" t="str">
            <v xml:space="preserve">F  </v>
          </cell>
          <cell r="C250" t="str">
            <v>5.35 a 39</v>
          </cell>
          <cell r="D250">
            <v>25</v>
          </cell>
          <cell r="E250">
            <v>1634216.33</v>
          </cell>
        </row>
        <row r="251">
          <cell r="A251" t="str">
            <v>Entre Ríos</v>
          </cell>
          <cell r="B251" t="str">
            <v xml:space="preserve">F  </v>
          </cell>
          <cell r="C251" t="str">
            <v>6.40 a 44</v>
          </cell>
          <cell r="D251">
            <v>12</v>
          </cell>
          <cell r="E251">
            <v>877749.18</v>
          </cell>
        </row>
        <row r="252">
          <cell r="A252" t="str">
            <v>Entre Ríos</v>
          </cell>
          <cell r="B252" t="str">
            <v xml:space="preserve">F  </v>
          </cell>
          <cell r="C252" t="str">
            <v>7.45 a 49</v>
          </cell>
          <cell r="D252">
            <v>12</v>
          </cell>
          <cell r="E252">
            <v>920825.97</v>
          </cell>
        </row>
        <row r="253">
          <cell r="A253" t="str">
            <v>Entre Ríos</v>
          </cell>
          <cell r="B253" t="str">
            <v xml:space="preserve">F  </v>
          </cell>
          <cell r="C253" t="str">
            <v>8.50 a 54</v>
          </cell>
          <cell r="D253">
            <v>5</v>
          </cell>
          <cell r="E253">
            <v>443507.23</v>
          </cell>
        </row>
        <row r="254">
          <cell r="A254" t="str">
            <v>Entre Ríos</v>
          </cell>
          <cell r="B254" t="str">
            <v xml:space="preserve">F  </v>
          </cell>
          <cell r="C254" t="str">
            <v>9.55 a 59</v>
          </cell>
          <cell r="D254">
            <v>1</v>
          </cell>
          <cell r="E254">
            <v>207804.93</v>
          </cell>
        </row>
        <row r="255">
          <cell r="A255" t="str">
            <v>Entre Ríos</v>
          </cell>
          <cell r="B255" t="str">
            <v xml:space="preserve">F  </v>
          </cell>
          <cell r="C255" t="str">
            <v>A.60 a 64</v>
          </cell>
          <cell r="D255">
            <v>1</v>
          </cell>
          <cell r="E255">
            <v>78805.41</v>
          </cell>
        </row>
        <row r="256">
          <cell r="A256" t="str">
            <v>Entre Ríos</v>
          </cell>
          <cell r="B256" t="str">
            <v xml:space="preserve">F  </v>
          </cell>
          <cell r="C256" t="str">
            <v>X.No Informada</v>
          </cell>
          <cell r="D256">
            <v>1</v>
          </cell>
          <cell r="E256">
            <v>93268.58</v>
          </cell>
        </row>
        <row r="257">
          <cell r="A257" t="str">
            <v>Entre Ríos</v>
          </cell>
          <cell r="B257" t="str">
            <v xml:space="preserve">M  </v>
          </cell>
          <cell r="C257" t="str">
            <v>0. TOTAL</v>
          </cell>
          <cell r="D257">
            <v>142</v>
          </cell>
          <cell r="E257">
            <v>14955389.33</v>
          </cell>
        </row>
        <row r="258">
          <cell r="A258" t="str">
            <v>Entre Ríos</v>
          </cell>
          <cell r="B258" t="str">
            <v xml:space="preserve">M  </v>
          </cell>
          <cell r="C258" t="str">
            <v>1.Hasta 24</v>
          </cell>
          <cell r="D258">
            <v>9</v>
          </cell>
          <cell r="E258">
            <v>336141.61</v>
          </cell>
        </row>
        <row r="259">
          <cell r="A259" t="str">
            <v>Entre Ríos</v>
          </cell>
          <cell r="B259" t="str">
            <v xml:space="preserve">M  </v>
          </cell>
          <cell r="C259" t="str">
            <v>3.25 a 29</v>
          </cell>
          <cell r="D259">
            <v>17</v>
          </cell>
          <cell r="E259">
            <v>721005.49</v>
          </cell>
        </row>
        <row r="260">
          <cell r="A260" t="str">
            <v>Entre Ríos</v>
          </cell>
          <cell r="B260" t="str">
            <v xml:space="preserve">M  </v>
          </cell>
          <cell r="C260" t="str">
            <v>4.30 a 34</v>
          </cell>
          <cell r="D260">
            <v>22</v>
          </cell>
          <cell r="E260">
            <v>1423158.36</v>
          </cell>
        </row>
        <row r="261">
          <cell r="A261" t="str">
            <v>Entre Ríos</v>
          </cell>
          <cell r="B261" t="str">
            <v xml:space="preserve">M  </v>
          </cell>
          <cell r="C261" t="str">
            <v>5.35 a 39</v>
          </cell>
          <cell r="D261">
            <v>27</v>
          </cell>
          <cell r="E261">
            <v>2171645.81</v>
          </cell>
        </row>
        <row r="262">
          <cell r="A262" t="str">
            <v>Entre Ríos</v>
          </cell>
          <cell r="B262" t="str">
            <v xml:space="preserve">M  </v>
          </cell>
          <cell r="C262" t="str">
            <v>6.40 a 44</v>
          </cell>
          <cell r="D262">
            <v>19</v>
          </cell>
          <cell r="E262">
            <v>1551208.45</v>
          </cell>
        </row>
        <row r="263">
          <cell r="A263" t="str">
            <v>Entre Ríos</v>
          </cell>
          <cell r="B263" t="str">
            <v xml:space="preserve">M  </v>
          </cell>
          <cell r="C263" t="str">
            <v>7.45 a 49</v>
          </cell>
          <cell r="D263">
            <v>18</v>
          </cell>
          <cell r="E263">
            <v>2787892.44</v>
          </cell>
        </row>
        <row r="264">
          <cell r="A264" t="str">
            <v>Entre Ríos</v>
          </cell>
          <cell r="B264" t="str">
            <v xml:space="preserve">M  </v>
          </cell>
          <cell r="C264" t="str">
            <v>8.50 a 54</v>
          </cell>
          <cell r="D264">
            <v>9</v>
          </cell>
          <cell r="E264">
            <v>1230580.3</v>
          </cell>
        </row>
        <row r="265">
          <cell r="A265" t="str">
            <v>Entre Ríos</v>
          </cell>
          <cell r="B265" t="str">
            <v xml:space="preserve">M  </v>
          </cell>
          <cell r="C265" t="str">
            <v>9.55 a 59</v>
          </cell>
          <cell r="D265">
            <v>14</v>
          </cell>
          <cell r="E265">
            <v>2863997.53</v>
          </cell>
        </row>
        <row r="266">
          <cell r="A266" t="str">
            <v>Entre Ríos</v>
          </cell>
          <cell r="B266" t="str">
            <v xml:space="preserve">M  </v>
          </cell>
          <cell r="C266" t="str">
            <v>A.60 a 64</v>
          </cell>
          <cell r="D266">
            <v>5</v>
          </cell>
          <cell r="E266">
            <v>1219591.33</v>
          </cell>
        </row>
        <row r="267">
          <cell r="A267" t="str">
            <v>Entre Ríos</v>
          </cell>
          <cell r="B267" t="str">
            <v xml:space="preserve">M  </v>
          </cell>
          <cell r="C267" t="str">
            <v>B.65 y más</v>
          </cell>
          <cell r="D267">
            <v>2</v>
          </cell>
          <cell r="E267">
            <v>650168.01</v>
          </cell>
        </row>
        <row r="268">
          <cell r="A268" t="str">
            <v>Entre Ríos</v>
          </cell>
          <cell r="B268" t="str">
            <v>Tot</v>
          </cell>
          <cell r="C268" t="str">
            <v>0. TOTAL</v>
          </cell>
          <cell r="D268">
            <v>257</v>
          </cell>
          <cell r="E268">
            <v>21636170.370000001</v>
          </cell>
        </row>
        <row r="269">
          <cell r="A269" t="str">
            <v>Entre Ríos</v>
          </cell>
          <cell r="B269" t="str">
            <v>Tot</v>
          </cell>
          <cell r="C269" t="str">
            <v>1.Hasta 24</v>
          </cell>
          <cell r="D269">
            <v>12</v>
          </cell>
          <cell r="E269">
            <v>421121.51</v>
          </cell>
        </row>
        <row r="270">
          <cell r="A270" t="str">
            <v>Entre Ríos</v>
          </cell>
          <cell r="B270" t="str">
            <v>Tot</v>
          </cell>
          <cell r="C270" t="str">
            <v>3.25 a 29</v>
          </cell>
          <cell r="D270">
            <v>43</v>
          </cell>
          <cell r="E270">
            <v>1712516.39</v>
          </cell>
        </row>
        <row r="271">
          <cell r="A271" t="str">
            <v>Entre Ríos</v>
          </cell>
          <cell r="B271" t="str">
            <v>Tot</v>
          </cell>
          <cell r="C271" t="str">
            <v>4.30 a 34</v>
          </cell>
          <cell r="D271">
            <v>51</v>
          </cell>
          <cell r="E271">
            <v>2771270.97</v>
          </cell>
        </row>
        <row r="272">
          <cell r="A272" t="str">
            <v>Entre Ríos</v>
          </cell>
          <cell r="B272" t="str">
            <v>Tot</v>
          </cell>
          <cell r="C272" t="str">
            <v>5.35 a 39</v>
          </cell>
          <cell r="D272">
            <v>52</v>
          </cell>
          <cell r="E272">
            <v>3805862.14</v>
          </cell>
        </row>
        <row r="273">
          <cell r="A273" t="str">
            <v>Entre Ríos</v>
          </cell>
          <cell r="B273" t="str">
            <v>Tot</v>
          </cell>
          <cell r="C273" t="str">
            <v>6.40 a 44</v>
          </cell>
          <cell r="D273">
            <v>31</v>
          </cell>
          <cell r="E273">
            <v>2428957.63</v>
          </cell>
        </row>
        <row r="274">
          <cell r="A274" t="str">
            <v>Entre Ríos</v>
          </cell>
          <cell r="B274" t="str">
            <v>Tot</v>
          </cell>
          <cell r="C274" t="str">
            <v>7.45 a 49</v>
          </cell>
          <cell r="D274">
            <v>30</v>
          </cell>
          <cell r="E274">
            <v>3708718.41</v>
          </cell>
        </row>
        <row r="275">
          <cell r="A275" t="str">
            <v>Entre Ríos</v>
          </cell>
          <cell r="B275" t="str">
            <v>Tot</v>
          </cell>
          <cell r="C275" t="str">
            <v>8.50 a 54</v>
          </cell>
          <cell r="D275">
            <v>14</v>
          </cell>
          <cell r="E275">
            <v>1674087.53</v>
          </cell>
        </row>
        <row r="276">
          <cell r="A276" t="str">
            <v>Entre Ríos</v>
          </cell>
          <cell r="B276" t="str">
            <v>Tot</v>
          </cell>
          <cell r="C276" t="str">
            <v>9.55 a 59</v>
          </cell>
          <cell r="D276">
            <v>15</v>
          </cell>
          <cell r="E276">
            <v>3071802.46</v>
          </cell>
        </row>
        <row r="277">
          <cell r="A277" t="str">
            <v>Entre Ríos</v>
          </cell>
          <cell r="B277" t="str">
            <v>Tot</v>
          </cell>
          <cell r="C277" t="str">
            <v>A.60 a 64</v>
          </cell>
          <cell r="D277">
            <v>6</v>
          </cell>
          <cell r="E277">
            <v>1298396.74</v>
          </cell>
        </row>
        <row r="278">
          <cell r="A278" t="str">
            <v>Entre Ríos</v>
          </cell>
          <cell r="B278" t="str">
            <v>Tot</v>
          </cell>
          <cell r="C278" t="str">
            <v>B.65 y más</v>
          </cell>
          <cell r="D278">
            <v>2</v>
          </cell>
          <cell r="E278">
            <v>650168.01</v>
          </cell>
        </row>
        <row r="279">
          <cell r="A279" t="str">
            <v>Entre Ríos</v>
          </cell>
          <cell r="B279" t="str">
            <v>Tot</v>
          </cell>
          <cell r="C279" t="str">
            <v>X.No Informada</v>
          </cell>
          <cell r="D279">
            <v>1</v>
          </cell>
          <cell r="E279">
            <v>93268.58</v>
          </cell>
        </row>
        <row r="280">
          <cell r="A280" t="str">
            <v>Formosa</v>
          </cell>
          <cell r="B280" t="str">
            <v xml:space="preserve">F  </v>
          </cell>
          <cell r="C280" t="str">
            <v>0. TOTAL</v>
          </cell>
          <cell r="D280">
            <v>2</v>
          </cell>
          <cell r="E280">
            <v>102507.05</v>
          </cell>
        </row>
        <row r="281">
          <cell r="A281" t="str">
            <v>Formosa</v>
          </cell>
          <cell r="B281" t="str">
            <v xml:space="preserve">F  </v>
          </cell>
          <cell r="C281" t="str">
            <v>5.35 a 39</v>
          </cell>
          <cell r="D281">
            <v>1</v>
          </cell>
          <cell r="E281">
            <v>29935.17</v>
          </cell>
        </row>
        <row r="282">
          <cell r="A282" t="str">
            <v>Formosa</v>
          </cell>
          <cell r="B282" t="str">
            <v xml:space="preserve">F  </v>
          </cell>
          <cell r="C282" t="str">
            <v>7.45 a 49</v>
          </cell>
          <cell r="D282">
            <v>1</v>
          </cell>
          <cell r="E282">
            <v>72571.88</v>
          </cell>
        </row>
        <row r="283">
          <cell r="A283" t="str">
            <v>Formosa</v>
          </cell>
          <cell r="B283" t="str">
            <v xml:space="preserve">M  </v>
          </cell>
          <cell r="C283" t="str">
            <v>0. TOTAL</v>
          </cell>
          <cell r="D283">
            <v>1</v>
          </cell>
          <cell r="E283">
            <v>26239.47</v>
          </cell>
        </row>
        <row r="284">
          <cell r="A284" t="str">
            <v>Formosa</v>
          </cell>
          <cell r="B284" t="str">
            <v xml:space="preserve">M  </v>
          </cell>
          <cell r="C284" t="str">
            <v>3.25 a 29</v>
          </cell>
          <cell r="D284">
            <v>1</v>
          </cell>
          <cell r="E284">
            <v>26239.47</v>
          </cell>
        </row>
        <row r="285">
          <cell r="A285" t="str">
            <v>Formosa</v>
          </cell>
          <cell r="B285" t="str">
            <v>Tot</v>
          </cell>
          <cell r="C285" t="str">
            <v>0. TOTAL</v>
          </cell>
          <cell r="D285">
            <v>3</v>
          </cell>
          <cell r="E285">
            <v>128746.52</v>
          </cell>
        </row>
        <row r="286">
          <cell r="A286" t="str">
            <v>Formosa</v>
          </cell>
          <cell r="B286" t="str">
            <v>Tot</v>
          </cell>
          <cell r="C286" t="str">
            <v>3.25 a 29</v>
          </cell>
          <cell r="D286">
            <v>1</v>
          </cell>
          <cell r="E286">
            <v>26239.47</v>
          </cell>
        </row>
        <row r="287">
          <cell r="A287" t="str">
            <v>Formosa</v>
          </cell>
          <cell r="B287" t="str">
            <v>Tot</v>
          </cell>
          <cell r="C287" t="str">
            <v>5.35 a 39</v>
          </cell>
          <cell r="D287">
            <v>1</v>
          </cell>
          <cell r="E287">
            <v>29935.17</v>
          </cell>
        </row>
        <row r="288">
          <cell r="A288" t="str">
            <v>Formosa</v>
          </cell>
          <cell r="B288" t="str">
            <v>Tot</v>
          </cell>
          <cell r="C288" t="str">
            <v>7.45 a 49</v>
          </cell>
          <cell r="D288">
            <v>1</v>
          </cell>
          <cell r="E288">
            <v>72571.88</v>
          </cell>
        </row>
        <row r="289">
          <cell r="A289" t="str">
            <v>Jujuy</v>
          </cell>
          <cell r="B289" t="str">
            <v xml:space="preserve">F  </v>
          </cell>
          <cell r="C289" t="str">
            <v>0. TOTAL</v>
          </cell>
          <cell r="D289">
            <v>25780</v>
          </cell>
          <cell r="E289">
            <v>696000306.66999996</v>
          </cell>
        </row>
        <row r="290">
          <cell r="A290" t="str">
            <v>Jujuy</v>
          </cell>
          <cell r="B290" t="str">
            <v xml:space="preserve">F  </v>
          </cell>
          <cell r="C290" t="str">
            <v>1.Hasta 24</v>
          </cell>
          <cell r="D290">
            <v>340</v>
          </cell>
          <cell r="E290">
            <v>4838414.79</v>
          </cell>
        </row>
        <row r="291">
          <cell r="A291" t="str">
            <v>Jujuy</v>
          </cell>
          <cell r="B291" t="str">
            <v xml:space="preserve">F  </v>
          </cell>
          <cell r="C291" t="str">
            <v>3.25 a 29</v>
          </cell>
          <cell r="D291">
            <v>1415</v>
          </cell>
          <cell r="E291">
            <v>25120453.719999999</v>
          </cell>
        </row>
        <row r="292">
          <cell r="A292" t="str">
            <v>Jujuy</v>
          </cell>
          <cell r="B292" t="str">
            <v xml:space="preserve">F  </v>
          </cell>
          <cell r="C292" t="str">
            <v>4.30 a 34</v>
          </cell>
          <cell r="D292">
            <v>2558</v>
          </cell>
          <cell r="E292">
            <v>53482447.799999997</v>
          </cell>
        </row>
        <row r="293">
          <cell r="A293" t="str">
            <v>Jujuy</v>
          </cell>
          <cell r="B293" t="str">
            <v xml:space="preserve">F  </v>
          </cell>
          <cell r="C293" t="str">
            <v>5.35 a 39</v>
          </cell>
          <cell r="D293">
            <v>3974</v>
          </cell>
          <cell r="E293">
            <v>87087346.900000006</v>
          </cell>
        </row>
        <row r="294">
          <cell r="A294" t="str">
            <v>Jujuy</v>
          </cell>
          <cell r="B294" t="str">
            <v xml:space="preserve">F  </v>
          </cell>
          <cell r="C294" t="str">
            <v>6.40 a 44</v>
          </cell>
          <cell r="D294">
            <v>4523</v>
          </cell>
          <cell r="E294">
            <v>106943655.97</v>
          </cell>
        </row>
        <row r="295">
          <cell r="A295" t="str">
            <v>Jujuy</v>
          </cell>
          <cell r="B295" t="str">
            <v xml:space="preserve">F  </v>
          </cell>
          <cell r="C295" t="str">
            <v>7.45 a 49</v>
          </cell>
          <cell r="D295">
            <v>3615</v>
          </cell>
          <cell r="E295">
            <v>91167780.540000007</v>
          </cell>
        </row>
        <row r="296">
          <cell r="A296" t="str">
            <v>Jujuy</v>
          </cell>
          <cell r="B296" t="str">
            <v xml:space="preserve">F  </v>
          </cell>
          <cell r="C296" t="str">
            <v>8.50 a 54</v>
          </cell>
          <cell r="D296">
            <v>3033</v>
          </cell>
          <cell r="E296">
            <v>91986468.870000005</v>
          </cell>
        </row>
        <row r="297">
          <cell r="A297" t="str">
            <v>Jujuy</v>
          </cell>
          <cell r="B297" t="str">
            <v xml:space="preserve">F  </v>
          </cell>
          <cell r="C297" t="str">
            <v>9.55 a 59</v>
          </cell>
          <cell r="D297">
            <v>2975</v>
          </cell>
          <cell r="E297">
            <v>108025689.84999999</v>
          </cell>
        </row>
        <row r="298">
          <cell r="A298" t="str">
            <v>Jujuy</v>
          </cell>
          <cell r="B298" t="str">
            <v xml:space="preserve">F  </v>
          </cell>
          <cell r="C298" t="str">
            <v>A.60 a 64</v>
          </cell>
          <cell r="D298">
            <v>2020</v>
          </cell>
          <cell r="E298">
            <v>78668735.390000001</v>
          </cell>
        </row>
        <row r="299">
          <cell r="A299" t="str">
            <v>Jujuy</v>
          </cell>
          <cell r="B299" t="str">
            <v xml:space="preserve">F  </v>
          </cell>
          <cell r="C299" t="str">
            <v>B.65 y más</v>
          </cell>
          <cell r="D299">
            <v>1142</v>
          </cell>
          <cell r="E299">
            <v>44488546.310000002</v>
          </cell>
        </row>
        <row r="300">
          <cell r="A300" t="str">
            <v>Jujuy</v>
          </cell>
          <cell r="B300" t="str">
            <v xml:space="preserve">F  </v>
          </cell>
          <cell r="C300" t="str">
            <v>X.No Informada</v>
          </cell>
          <cell r="D300">
            <v>185</v>
          </cell>
          <cell r="E300">
            <v>4190766.53</v>
          </cell>
        </row>
        <row r="301">
          <cell r="A301" t="str">
            <v>Jujuy</v>
          </cell>
          <cell r="B301" t="str">
            <v xml:space="preserve">M  </v>
          </cell>
          <cell r="C301" t="str">
            <v>0. TOTAL</v>
          </cell>
          <cell r="D301">
            <v>22718</v>
          </cell>
          <cell r="E301">
            <v>666378807.53999996</v>
          </cell>
        </row>
        <row r="302">
          <cell r="A302" t="str">
            <v>Jujuy</v>
          </cell>
          <cell r="B302" t="str">
            <v xml:space="preserve">M  </v>
          </cell>
          <cell r="C302" t="str">
            <v>1.Hasta 24</v>
          </cell>
          <cell r="D302">
            <v>454</v>
          </cell>
          <cell r="E302">
            <v>6217346.4699999997</v>
          </cell>
        </row>
        <row r="303">
          <cell r="A303" t="str">
            <v>Jujuy</v>
          </cell>
          <cell r="B303" t="str">
            <v xml:space="preserve">M  </v>
          </cell>
          <cell r="C303" t="str">
            <v>3.25 a 29</v>
          </cell>
          <cell r="D303">
            <v>1376</v>
          </cell>
          <cell r="E303">
            <v>23820336.309999999</v>
          </cell>
        </row>
        <row r="304">
          <cell r="A304" t="str">
            <v>Jujuy</v>
          </cell>
          <cell r="B304" t="str">
            <v xml:space="preserve">M  </v>
          </cell>
          <cell r="C304" t="str">
            <v>4.30 a 34</v>
          </cell>
          <cell r="D304">
            <v>2220</v>
          </cell>
          <cell r="E304">
            <v>48158337.479999997</v>
          </cell>
        </row>
        <row r="305">
          <cell r="A305" t="str">
            <v>Jujuy</v>
          </cell>
          <cell r="B305" t="str">
            <v xml:space="preserve">M  </v>
          </cell>
          <cell r="C305" t="str">
            <v>5.35 a 39</v>
          </cell>
          <cell r="D305">
            <v>3048</v>
          </cell>
          <cell r="E305">
            <v>70756175.469999999</v>
          </cell>
        </row>
        <row r="306">
          <cell r="A306" t="str">
            <v>Jujuy</v>
          </cell>
          <cell r="B306" t="str">
            <v xml:space="preserve">M  </v>
          </cell>
          <cell r="C306" t="str">
            <v>6.40 a 44</v>
          </cell>
          <cell r="D306">
            <v>3783</v>
          </cell>
          <cell r="E306">
            <v>94524362.810000002</v>
          </cell>
        </row>
        <row r="307">
          <cell r="A307" t="str">
            <v>Jujuy</v>
          </cell>
          <cell r="B307" t="str">
            <v xml:space="preserve">M  </v>
          </cell>
          <cell r="C307" t="str">
            <v>7.45 a 49</v>
          </cell>
          <cell r="D307">
            <v>3106</v>
          </cell>
          <cell r="E307">
            <v>88824066.150000006</v>
          </cell>
        </row>
        <row r="308">
          <cell r="A308" t="str">
            <v>Jujuy</v>
          </cell>
          <cell r="B308" t="str">
            <v xml:space="preserve">M  </v>
          </cell>
          <cell r="C308" t="str">
            <v>8.50 a 54</v>
          </cell>
          <cell r="D308">
            <v>2714</v>
          </cell>
          <cell r="E308">
            <v>89411239.5</v>
          </cell>
        </row>
        <row r="309">
          <cell r="A309" t="str">
            <v>Jujuy</v>
          </cell>
          <cell r="B309" t="str">
            <v xml:space="preserve">M  </v>
          </cell>
          <cell r="C309" t="str">
            <v>9.55 a 59</v>
          </cell>
          <cell r="D309">
            <v>2558</v>
          </cell>
          <cell r="E309">
            <v>96623055.430000007</v>
          </cell>
        </row>
        <row r="310">
          <cell r="A310" t="str">
            <v>Jujuy</v>
          </cell>
          <cell r="B310" t="str">
            <v xml:space="preserve">M  </v>
          </cell>
          <cell r="C310" t="str">
            <v>A.60 a 64</v>
          </cell>
          <cell r="D310">
            <v>2251</v>
          </cell>
          <cell r="E310">
            <v>97284601.299999997</v>
          </cell>
        </row>
        <row r="311">
          <cell r="A311" t="str">
            <v>Jujuy</v>
          </cell>
          <cell r="B311" t="str">
            <v xml:space="preserve">M  </v>
          </cell>
          <cell r="C311" t="str">
            <v>B.65 y más</v>
          </cell>
          <cell r="D311">
            <v>1198</v>
          </cell>
          <cell r="E311">
            <v>50404324.659999996</v>
          </cell>
        </row>
        <row r="312">
          <cell r="A312" t="str">
            <v>Jujuy</v>
          </cell>
          <cell r="B312" t="str">
            <v xml:space="preserve">M  </v>
          </cell>
          <cell r="C312" t="str">
            <v>X.No Informada</v>
          </cell>
          <cell r="D312">
            <v>10</v>
          </cell>
          <cell r="E312">
            <v>354961.96</v>
          </cell>
        </row>
        <row r="313">
          <cell r="A313" t="str">
            <v>Jujuy</v>
          </cell>
          <cell r="B313" t="str">
            <v>Tot</v>
          </cell>
          <cell r="C313" t="str">
            <v>0. TOTAL</v>
          </cell>
          <cell r="D313">
            <v>48503</v>
          </cell>
          <cell r="E313">
            <v>1362443174.53</v>
          </cell>
        </row>
        <row r="314">
          <cell r="A314" t="str">
            <v>Jujuy</v>
          </cell>
          <cell r="B314" t="str">
            <v>Tot</v>
          </cell>
          <cell r="C314" t="str">
            <v>1.Hasta 24</v>
          </cell>
          <cell r="D314">
            <v>794</v>
          </cell>
          <cell r="E314">
            <v>11055761.26</v>
          </cell>
        </row>
        <row r="315">
          <cell r="A315" t="str">
            <v>Jujuy</v>
          </cell>
          <cell r="B315" t="str">
            <v>Tot</v>
          </cell>
          <cell r="C315" t="str">
            <v>3.25 a 29</v>
          </cell>
          <cell r="D315">
            <v>2791</v>
          </cell>
          <cell r="E315">
            <v>48940790.030000001</v>
          </cell>
        </row>
        <row r="316">
          <cell r="A316" t="str">
            <v>Jujuy</v>
          </cell>
          <cell r="B316" t="str">
            <v>Tot</v>
          </cell>
          <cell r="C316" t="str">
            <v>4.30 a 34</v>
          </cell>
          <cell r="D316">
            <v>4778</v>
          </cell>
          <cell r="E316">
            <v>101640785.28</v>
          </cell>
        </row>
        <row r="317">
          <cell r="A317" t="str">
            <v>Jujuy</v>
          </cell>
          <cell r="B317" t="str">
            <v>Tot</v>
          </cell>
          <cell r="C317" t="str">
            <v>5.35 a 39</v>
          </cell>
          <cell r="D317">
            <v>7023</v>
          </cell>
          <cell r="E317">
            <v>157853345.02000001</v>
          </cell>
        </row>
        <row r="318">
          <cell r="A318" t="str">
            <v>Jujuy</v>
          </cell>
          <cell r="B318" t="str">
            <v>Tot</v>
          </cell>
          <cell r="C318" t="str">
            <v>6.40 a 44</v>
          </cell>
          <cell r="D318">
            <v>8306</v>
          </cell>
          <cell r="E318">
            <v>201468018.78</v>
          </cell>
        </row>
        <row r="319">
          <cell r="A319" t="str">
            <v>Jujuy</v>
          </cell>
          <cell r="B319" t="str">
            <v>Tot</v>
          </cell>
          <cell r="C319" t="str">
            <v>7.45 a 49</v>
          </cell>
          <cell r="D319">
            <v>6721</v>
          </cell>
          <cell r="E319">
            <v>179991846.69</v>
          </cell>
        </row>
        <row r="320">
          <cell r="A320" t="str">
            <v>Jujuy</v>
          </cell>
          <cell r="B320" t="str">
            <v>Tot</v>
          </cell>
          <cell r="C320" t="str">
            <v>8.50 a 54</v>
          </cell>
          <cell r="D320">
            <v>5747</v>
          </cell>
          <cell r="E320">
            <v>181397708.37</v>
          </cell>
        </row>
        <row r="321">
          <cell r="A321" t="str">
            <v>Jujuy</v>
          </cell>
          <cell r="B321" t="str">
            <v>Tot</v>
          </cell>
          <cell r="C321" t="str">
            <v>9.55 a 59</v>
          </cell>
          <cell r="D321">
            <v>5533</v>
          </cell>
          <cell r="E321">
            <v>204648745.28</v>
          </cell>
        </row>
        <row r="322">
          <cell r="A322" t="str">
            <v>Jujuy</v>
          </cell>
          <cell r="B322" t="str">
            <v>Tot</v>
          </cell>
          <cell r="C322" t="str">
            <v>A.60 a 64</v>
          </cell>
          <cell r="D322">
            <v>4271</v>
          </cell>
          <cell r="E322">
            <v>175953336.69</v>
          </cell>
        </row>
        <row r="323">
          <cell r="A323" t="str">
            <v>Jujuy</v>
          </cell>
          <cell r="B323" t="str">
            <v>Tot</v>
          </cell>
          <cell r="C323" t="str">
            <v>B.65 y más</v>
          </cell>
          <cell r="D323">
            <v>2340</v>
          </cell>
          <cell r="E323">
            <v>94892870.969999999</v>
          </cell>
        </row>
        <row r="324">
          <cell r="A324" t="str">
            <v>Jujuy</v>
          </cell>
          <cell r="B324" t="str">
            <v>Tot</v>
          </cell>
          <cell r="C324" t="str">
            <v>X.No Informada</v>
          </cell>
          <cell r="D324">
            <v>199</v>
          </cell>
          <cell r="E324">
            <v>4599966.16</v>
          </cell>
        </row>
        <row r="325">
          <cell r="A325" t="str">
            <v>Jujuy</v>
          </cell>
          <cell r="B325" t="str">
            <v xml:space="preserve">x  </v>
          </cell>
          <cell r="C325" t="str">
            <v>0. TOTAL</v>
          </cell>
          <cell r="D325">
            <v>5</v>
          </cell>
          <cell r="E325">
            <v>64060.32</v>
          </cell>
        </row>
        <row r="326">
          <cell r="A326" t="str">
            <v>Jujuy</v>
          </cell>
          <cell r="B326" t="str">
            <v xml:space="preserve">x  </v>
          </cell>
          <cell r="C326" t="str">
            <v>5.35 a 39</v>
          </cell>
          <cell r="D326">
            <v>1</v>
          </cell>
          <cell r="E326">
            <v>9822.65</v>
          </cell>
        </row>
        <row r="327">
          <cell r="A327" t="str">
            <v>Jujuy</v>
          </cell>
          <cell r="B327" t="str">
            <v xml:space="preserve">x  </v>
          </cell>
          <cell r="C327" t="str">
            <v>X.No Informada</v>
          </cell>
          <cell r="D327">
            <v>4</v>
          </cell>
          <cell r="E327">
            <v>54237.67</v>
          </cell>
        </row>
        <row r="328">
          <cell r="A328" t="str">
            <v>La Pampa</v>
          </cell>
          <cell r="B328" t="str">
            <v xml:space="preserve">F  </v>
          </cell>
          <cell r="C328" t="str">
            <v>0. TOTAL</v>
          </cell>
          <cell r="D328">
            <v>73</v>
          </cell>
          <cell r="E328">
            <v>4645654.92</v>
          </cell>
        </row>
        <row r="329">
          <cell r="A329" t="str">
            <v>La Pampa</v>
          </cell>
          <cell r="B329" t="str">
            <v xml:space="preserve">F  </v>
          </cell>
          <cell r="C329" t="str">
            <v>1.Hasta 24</v>
          </cell>
          <cell r="D329">
            <v>3</v>
          </cell>
          <cell r="E329">
            <v>126832.47</v>
          </cell>
        </row>
        <row r="330">
          <cell r="A330" t="str">
            <v>La Pampa</v>
          </cell>
          <cell r="B330" t="str">
            <v xml:space="preserve">F  </v>
          </cell>
          <cell r="C330" t="str">
            <v>3.25 a 29</v>
          </cell>
          <cell r="D330">
            <v>14</v>
          </cell>
          <cell r="E330">
            <v>685106.54</v>
          </cell>
        </row>
        <row r="331">
          <cell r="A331" t="str">
            <v>La Pampa</v>
          </cell>
          <cell r="B331" t="str">
            <v xml:space="preserve">F  </v>
          </cell>
          <cell r="C331" t="str">
            <v>4.30 a 34</v>
          </cell>
          <cell r="D331">
            <v>9</v>
          </cell>
          <cell r="E331">
            <v>704790.9</v>
          </cell>
        </row>
        <row r="332">
          <cell r="A332" t="str">
            <v>La Pampa</v>
          </cell>
          <cell r="B332" t="str">
            <v xml:space="preserve">F  </v>
          </cell>
          <cell r="C332" t="str">
            <v>5.35 a 39</v>
          </cell>
          <cell r="D332">
            <v>15</v>
          </cell>
          <cell r="E332">
            <v>1116284.08</v>
          </cell>
        </row>
        <row r="333">
          <cell r="A333" t="str">
            <v>La Pampa</v>
          </cell>
          <cell r="B333" t="str">
            <v xml:space="preserve">F  </v>
          </cell>
          <cell r="C333" t="str">
            <v>6.40 a 44</v>
          </cell>
          <cell r="D333">
            <v>9</v>
          </cell>
          <cell r="E333">
            <v>433703.56</v>
          </cell>
        </row>
        <row r="334">
          <cell r="A334" t="str">
            <v>La Pampa</v>
          </cell>
          <cell r="B334" t="str">
            <v xml:space="preserve">F  </v>
          </cell>
          <cell r="C334" t="str">
            <v>7.45 a 49</v>
          </cell>
          <cell r="D334">
            <v>10</v>
          </cell>
          <cell r="E334">
            <v>651559.28</v>
          </cell>
        </row>
        <row r="335">
          <cell r="A335" t="str">
            <v>La Pampa</v>
          </cell>
          <cell r="B335" t="str">
            <v xml:space="preserve">F  </v>
          </cell>
          <cell r="C335" t="str">
            <v>8.50 a 54</v>
          </cell>
          <cell r="D335">
            <v>4</v>
          </cell>
          <cell r="E335">
            <v>239590.96</v>
          </cell>
        </row>
        <row r="336">
          <cell r="A336" t="str">
            <v>La Pampa</v>
          </cell>
          <cell r="B336" t="str">
            <v xml:space="preserve">F  </v>
          </cell>
          <cell r="C336" t="str">
            <v>9.55 a 59</v>
          </cell>
          <cell r="D336">
            <v>5</v>
          </cell>
          <cell r="E336">
            <v>345883.37</v>
          </cell>
        </row>
        <row r="337">
          <cell r="A337" t="str">
            <v>La Pampa</v>
          </cell>
          <cell r="B337" t="str">
            <v xml:space="preserve">F  </v>
          </cell>
          <cell r="C337" t="str">
            <v>A.60 a 64</v>
          </cell>
          <cell r="D337">
            <v>1</v>
          </cell>
          <cell r="E337">
            <v>105269.28</v>
          </cell>
        </row>
        <row r="338">
          <cell r="A338" t="str">
            <v>La Pampa</v>
          </cell>
          <cell r="B338" t="str">
            <v xml:space="preserve">F  </v>
          </cell>
          <cell r="C338" t="str">
            <v>B.65 y más</v>
          </cell>
          <cell r="D338">
            <v>3</v>
          </cell>
          <cell r="E338">
            <v>236634.48</v>
          </cell>
        </row>
        <row r="339">
          <cell r="A339" t="str">
            <v>La Pampa</v>
          </cell>
          <cell r="B339" t="str">
            <v xml:space="preserve">M  </v>
          </cell>
          <cell r="C339" t="str">
            <v>0. TOTAL</v>
          </cell>
          <cell r="D339">
            <v>379</v>
          </cell>
          <cell r="E339">
            <v>26030963.600000001</v>
          </cell>
        </row>
        <row r="340">
          <cell r="A340" t="str">
            <v>La Pampa</v>
          </cell>
          <cell r="B340" t="str">
            <v xml:space="preserve">M  </v>
          </cell>
          <cell r="C340" t="str">
            <v>1.Hasta 24</v>
          </cell>
          <cell r="D340">
            <v>39</v>
          </cell>
          <cell r="E340">
            <v>1776143.14</v>
          </cell>
        </row>
        <row r="341">
          <cell r="A341" t="str">
            <v>La Pampa</v>
          </cell>
          <cell r="B341" t="str">
            <v xml:space="preserve">M  </v>
          </cell>
          <cell r="C341" t="str">
            <v>3.25 a 29</v>
          </cell>
          <cell r="D341">
            <v>64</v>
          </cell>
          <cell r="E341">
            <v>3157389.67</v>
          </cell>
        </row>
        <row r="342">
          <cell r="A342" t="str">
            <v>La Pampa</v>
          </cell>
          <cell r="B342" t="str">
            <v xml:space="preserve">M  </v>
          </cell>
          <cell r="C342" t="str">
            <v>4.30 a 34</v>
          </cell>
          <cell r="D342">
            <v>46</v>
          </cell>
          <cell r="E342">
            <v>2493135.75</v>
          </cell>
        </row>
        <row r="343">
          <cell r="A343" t="str">
            <v>La Pampa</v>
          </cell>
          <cell r="B343" t="str">
            <v xml:space="preserve">M  </v>
          </cell>
          <cell r="C343" t="str">
            <v>5.35 a 39</v>
          </cell>
          <cell r="D343">
            <v>52</v>
          </cell>
          <cell r="E343">
            <v>3696156.4</v>
          </cell>
        </row>
        <row r="344">
          <cell r="A344" t="str">
            <v>La Pampa</v>
          </cell>
          <cell r="B344" t="str">
            <v xml:space="preserve">M  </v>
          </cell>
          <cell r="C344" t="str">
            <v>6.40 a 44</v>
          </cell>
          <cell r="D344">
            <v>47</v>
          </cell>
          <cell r="E344">
            <v>3637871.57</v>
          </cell>
        </row>
        <row r="345">
          <cell r="A345" t="str">
            <v>La Pampa</v>
          </cell>
          <cell r="B345" t="str">
            <v xml:space="preserve">M  </v>
          </cell>
          <cell r="C345" t="str">
            <v>7.45 a 49</v>
          </cell>
          <cell r="D345">
            <v>50</v>
          </cell>
          <cell r="E345">
            <v>4308322.5199999996</v>
          </cell>
        </row>
        <row r="346">
          <cell r="A346" t="str">
            <v>La Pampa</v>
          </cell>
          <cell r="B346" t="str">
            <v xml:space="preserve">M  </v>
          </cell>
          <cell r="C346" t="str">
            <v>8.50 a 54</v>
          </cell>
          <cell r="D346">
            <v>33</v>
          </cell>
          <cell r="E346">
            <v>2729743.26</v>
          </cell>
        </row>
        <row r="347">
          <cell r="A347" t="str">
            <v>La Pampa</v>
          </cell>
          <cell r="B347" t="str">
            <v xml:space="preserve">M  </v>
          </cell>
          <cell r="C347" t="str">
            <v>9.55 a 59</v>
          </cell>
          <cell r="D347">
            <v>25</v>
          </cell>
          <cell r="E347">
            <v>2510322.5499999998</v>
          </cell>
        </row>
        <row r="348">
          <cell r="A348" t="str">
            <v>La Pampa</v>
          </cell>
          <cell r="B348" t="str">
            <v xml:space="preserve">M  </v>
          </cell>
          <cell r="C348" t="str">
            <v>A.60 a 64</v>
          </cell>
          <cell r="D348">
            <v>18</v>
          </cell>
          <cell r="E348">
            <v>1179234.22</v>
          </cell>
        </row>
        <row r="349">
          <cell r="A349" t="str">
            <v>La Pampa</v>
          </cell>
          <cell r="B349" t="str">
            <v xml:space="preserve">M  </v>
          </cell>
          <cell r="C349" t="str">
            <v>B.65 y más</v>
          </cell>
          <cell r="D349">
            <v>5</v>
          </cell>
          <cell r="E349">
            <v>542644.52</v>
          </cell>
        </row>
        <row r="350">
          <cell r="A350" t="str">
            <v>La Pampa</v>
          </cell>
          <cell r="B350" t="str">
            <v>Tot</v>
          </cell>
          <cell r="C350" t="str">
            <v>0. TOTAL</v>
          </cell>
          <cell r="D350">
            <v>452</v>
          </cell>
          <cell r="E350">
            <v>30676618.52</v>
          </cell>
        </row>
        <row r="351">
          <cell r="A351" t="str">
            <v>La Pampa</v>
          </cell>
          <cell r="B351" t="str">
            <v>Tot</v>
          </cell>
          <cell r="C351" t="str">
            <v>1.Hasta 24</v>
          </cell>
          <cell r="D351">
            <v>42</v>
          </cell>
          <cell r="E351">
            <v>1902975.61</v>
          </cell>
        </row>
        <row r="352">
          <cell r="A352" t="str">
            <v>La Pampa</v>
          </cell>
          <cell r="B352" t="str">
            <v>Tot</v>
          </cell>
          <cell r="C352" t="str">
            <v>3.25 a 29</v>
          </cell>
          <cell r="D352">
            <v>78</v>
          </cell>
          <cell r="E352">
            <v>3842496.21</v>
          </cell>
        </row>
        <row r="353">
          <cell r="A353" t="str">
            <v>La Pampa</v>
          </cell>
          <cell r="B353" t="str">
            <v>Tot</v>
          </cell>
          <cell r="C353" t="str">
            <v>4.30 a 34</v>
          </cell>
          <cell r="D353">
            <v>55</v>
          </cell>
          <cell r="E353">
            <v>3197926.65</v>
          </cell>
        </row>
        <row r="354">
          <cell r="A354" t="str">
            <v>La Pampa</v>
          </cell>
          <cell r="B354" t="str">
            <v>Tot</v>
          </cell>
          <cell r="C354" t="str">
            <v>5.35 a 39</v>
          </cell>
          <cell r="D354">
            <v>67</v>
          </cell>
          <cell r="E354">
            <v>4812440.4800000004</v>
          </cell>
        </row>
        <row r="355">
          <cell r="A355" t="str">
            <v>La Pampa</v>
          </cell>
          <cell r="B355" t="str">
            <v>Tot</v>
          </cell>
          <cell r="C355" t="str">
            <v>6.40 a 44</v>
          </cell>
          <cell r="D355">
            <v>56</v>
          </cell>
          <cell r="E355">
            <v>4071575.13</v>
          </cell>
        </row>
        <row r="356">
          <cell r="A356" t="str">
            <v>La Pampa</v>
          </cell>
          <cell r="B356" t="str">
            <v>Tot</v>
          </cell>
          <cell r="C356" t="str">
            <v>7.45 a 49</v>
          </cell>
          <cell r="D356">
            <v>60</v>
          </cell>
          <cell r="E356">
            <v>4959881.8</v>
          </cell>
        </row>
        <row r="357">
          <cell r="A357" t="str">
            <v>La Pampa</v>
          </cell>
          <cell r="B357" t="str">
            <v>Tot</v>
          </cell>
          <cell r="C357" t="str">
            <v>8.50 a 54</v>
          </cell>
          <cell r="D357">
            <v>37</v>
          </cell>
          <cell r="E357">
            <v>2969334.22</v>
          </cell>
        </row>
        <row r="358">
          <cell r="A358" t="str">
            <v>La Pampa</v>
          </cell>
          <cell r="B358" t="str">
            <v>Tot</v>
          </cell>
          <cell r="C358" t="str">
            <v>9.55 a 59</v>
          </cell>
          <cell r="D358">
            <v>30</v>
          </cell>
          <cell r="E358">
            <v>2856205.92</v>
          </cell>
        </row>
        <row r="359">
          <cell r="A359" t="str">
            <v>La Pampa</v>
          </cell>
          <cell r="B359" t="str">
            <v>Tot</v>
          </cell>
          <cell r="C359" t="str">
            <v>A.60 a 64</v>
          </cell>
          <cell r="D359">
            <v>19</v>
          </cell>
          <cell r="E359">
            <v>1284503.5</v>
          </cell>
        </row>
        <row r="360">
          <cell r="A360" t="str">
            <v>La Pampa</v>
          </cell>
          <cell r="B360" t="str">
            <v>Tot</v>
          </cell>
          <cell r="C360" t="str">
            <v>B.65 y más</v>
          </cell>
          <cell r="D360">
            <v>8</v>
          </cell>
          <cell r="E360">
            <v>779279</v>
          </cell>
        </row>
        <row r="361">
          <cell r="A361" t="str">
            <v>La Rioja</v>
          </cell>
          <cell r="B361" t="str">
            <v xml:space="preserve">F  </v>
          </cell>
          <cell r="C361" t="str">
            <v>0. TOTAL</v>
          </cell>
          <cell r="D361">
            <v>15200</v>
          </cell>
          <cell r="E361">
            <v>400096652.13</v>
          </cell>
        </row>
        <row r="362">
          <cell r="A362" t="str">
            <v>La Rioja</v>
          </cell>
          <cell r="B362" t="str">
            <v xml:space="preserve">F  </v>
          </cell>
          <cell r="C362" t="str">
            <v>1.Hasta 24</v>
          </cell>
          <cell r="D362">
            <v>179</v>
          </cell>
          <cell r="E362">
            <v>3483451.81</v>
          </cell>
        </row>
        <row r="363">
          <cell r="A363" t="str">
            <v>La Rioja</v>
          </cell>
          <cell r="B363" t="str">
            <v xml:space="preserve">F  </v>
          </cell>
          <cell r="C363" t="str">
            <v>3.25 a 29</v>
          </cell>
          <cell r="D363">
            <v>679</v>
          </cell>
          <cell r="E363">
            <v>15432393.33</v>
          </cell>
        </row>
        <row r="364">
          <cell r="A364" t="str">
            <v>La Rioja</v>
          </cell>
          <cell r="B364" t="str">
            <v xml:space="preserve">F  </v>
          </cell>
          <cell r="C364" t="str">
            <v>4.30 a 34</v>
          </cell>
          <cell r="D364">
            <v>1418</v>
          </cell>
          <cell r="E364">
            <v>36582121.68</v>
          </cell>
        </row>
        <row r="365">
          <cell r="A365" t="str">
            <v>La Rioja</v>
          </cell>
          <cell r="B365" t="str">
            <v xml:space="preserve">F  </v>
          </cell>
          <cell r="C365" t="str">
            <v>5.35 a 39</v>
          </cell>
          <cell r="D365">
            <v>2178</v>
          </cell>
          <cell r="E365">
            <v>55846335.479999997</v>
          </cell>
        </row>
        <row r="366">
          <cell r="A366" t="str">
            <v>La Rioja</v>
          </cell>
          <cell r="B366" t="str">
            <v xml:space="preserve">F  </v>
          </cell>
          <cell r="C366" t="str">
            <v>6.40 a 44</v>
          </cell>
          <cell r="D366">
            <v>2700</v>
          </cell>
          <cell r="E366">
            <v>68914656.760000005</v>
          </cell>
        </row>
        <row r="367">
          <cell r="A367" t="str">
            <v>La Rioja</v>
          </cell>
          <cell r="B367" t="str">
            <v xml:space="preserve">F  </v>
          </cell>
          <cell r="C367" t="str">
            <v>7.45 a 49</v>
          </cell>
          <cell r="D367">
            <v>2185</v>
          </cell>
          <cell r="E367">
            <v>55122887.530000001</v>
          </cell>
        </row>
        <row r="368">
          <cell r="A368" t="str">
            <v>La Rioja</v>
          </cell>
          <cell r="B368" t="str">
            <v xml:space="preserve">F  </v>
          </cell>
          <cell r="C368" t="str">
            <v>8.50 a 54</v>
          </cell>
          <cell r="D368">
            <v>2159</v>
          </cell>
          <cell r="E368">
            <v>59555014.539999999</v>
          </cell>
        </row>
        <row r="369">
          <cell r="A369" t="str">
            <v>La Rioja</v>
          </cell>
          <cell r="B369" t="str">
            <v xml:space="preserve">F  </v>
          </cell>
          <cell r="C369" t="str">
            <v>9.55 a 59</v>
          </cell>
          <cell r="D369">
            <v>2085</v>
          </cell>
          <cell r="E369">
            <v>58589245.759999998</v>
          </cell>
        </row>
        <row r="370">
          <cell r="A370" t="str">
            <v>La Rioja</v>
          </cell>
          <cell r="B370" t="str">
            <v xml:space="preserve">F  </v>
          </cell>
          <cell r="C370" t="str">
            <v>A.60 a 64</v>
          </cell>
          <cell r="D370">
            <v>940</v>
          </cell>
          <cell r="E370">
            <v>28195630.870000001</v>
          </cell>
        </row>
        <row r="371">
          <cell r="A371" t="str">
            <v>La Rioja</v>
          </cell>
          <cell r="B371" t="str">
            <v xml:space="preserve">F  </v>
          </cell>
          <cell r="C371" t="str">
            <v>B.65 y más</v>
          </cell>
          <cell r="D371">
            <v>569</v>
          </cell>
          <cell r="E371">
            <v>16132336.310000001</v>
          </cell>
        </row>
        <row r="372">
          <cell r="A372" t="str">
            <v>La Rioja</v>
          </cell>
          <cell r="B372" t="str">
            <v xml:space="preserve">F  </v>
          </cell>
          <cell r="C372" t="str">
            <v>X.No Informada</v>
          </cell>
          <cell r="D372">
            <v>108</v>
          </cell>
          <cell r="E372">
            <v>2242578.06</v>
          </cell>
        </row>
        <row r="373">
          <cell r="A373" t="str">
            <v>La Rioja</v>
          </cell>
          <cell r="B373" t="str">
            <v xml:space="preserve">M  </v>
          </cell>
          <cell r="C373" t="str">
            <v>0. TOTAL</v>
          </cell>
          <cell r="D373">
            <v>17464</v>
          </cell>
          <cell r="E373">
            <v>446666134.20999998</v>
          </cell>
        </row>
        <row r="374">
          <cell r="A374" t="str">
            <v>La Rioja</v>
          </cell>
          <cell r="B374" t="str">
            <v xml:space="preserve">M  </v>
          </cell>
          <cell r="C374" t="str">
            <v>1.Hasta 24</v>
          </cell>
          <cell r="D374">
            <v>249</v>
          </cell>
          <cell r="E374">
            <v>4821838.3899999997</v>
          </cell>
        </row>
        <row r="375">
          <cell r="A375" t="str">
            <v>La Rioja</v>
          </cell>
          <cell r="B375" t="str">
            <v xml:space="preserve">M  </v>
          </cell>
          <cell r="C375" t="str">
            <v>3.25 a 29</v>
          </cell>
          <cell r="D375">
            <v>793</v>
          </cell>
          <cell r="E375">
            <v>16469773.59</v>
          </cell>
        </row>
        <row r="376">
          <cell r="A376" t="str">
            <v>La Rioja</v>
          </cell>
          <cell r="B376" t="str">
            <v xml:space="preserve">M  </v>
          </cell>
          <cell r="C376" t="str">
            <v>4.30 a 34</v>
          </cell>
          <cell r="D376">
            <v>1427</v>
          </cell>
          <cell r="E376">
            <v>32646343.829999998</v>
          </cell>
        </row>
        <row r="377">
          <cell r="A377" t="str">
            <v>La Rioja</v>
          </cell>
          <cell r="B377" t="str">
            <v xml:space="preserve">M  </v>
          </cell>
          <cell r="C377" t="str">
            <v>5.35 a 39</v>
          </cell>
          <cell r="D377">
            <v>1834</v>
          </cell>
          <cell r="E377">
            <v>44757294.729999997</v>
          </cell>
        </row>
        <row r="378">
          <cell r="A378" t="str">
            <v>La Rioja</v>
          </cell>
          <cell r="B378" t="str">
            <v xml:space="preserve">M  </v>
          </cell>
          <cell r="C378" t="str">
            <v>6.40 a 44</v>
          </cell>
          <cell r="D378">
            <v>2210</v>
          </cell>
          <cell r="E378">
            <v>57052889.469999999</v>
          </cell>
        </row>
        <row r="379">
          <cell r="A379" t="str">
            <v>La Rioja</v>
          </cell>
          <cell r="B379" t="str">
            <v xml:space="preserve">M  </v>
          </cell>
          <cell r="C379" t="str">
            <v>7.45 a 49</v>
          </cell>
          <cell r="D379">
            <v>2147</v>
          </cell>
          <cell r="E379">
            <v>55509348.079999998</v>
          </cell>
        </row>
        <row r="380">
          <cell r="A380" t="str">
            <v>La Rioja</v>
          </cell>
          <cell r="B380" t="str">
            <v xml:space="preserve">M  </v>
          </cell>
          <cell r="C380" t="str">
            <v>8.50 a 54</v>
          </cell>
          <cell r="D380">
            <v>2706</v>
          </cell>
          <cell r="E380">
            <v>72066631.459999993</v>
          </cell>
        </row>
        <row r="381">
          <cell r="A381" t="str">
            <v>La Rioja</v>
          </cell>
          <cell r="B381" t="str">
            <v xml:space="preserve">M  </v>
          </cell>
          <cell r="C381" t="str">
            <v>9.55 a 59</v>
          </cell>
          <cell r="D381">
            <v>2682</v>
          </cell>
          <cell r="E381">
            <v>72009160.219999999</v>
          </cell>
        </row>
        <row r="382">
          <cell r="A382" t="str">
            <v>La Rioja</v>
          </cell>
          <cell r="B382" t="str">
            <v xml:space="preserve">M  </v>
          </cell>
          <cell r="C382" t="str">
            <v>A.60 a 64</v>
          </cell>
          <cell r="D382">
            <v>2200</v>
          </cell>
          <cell r="E382">
            <v>59974761.43</v>
          </cell>
        </row>
        <row r="383">
          <cell r="A383" t="str">
            <v>La Rioja</v>
          </cell>
          <cell r="B383" t="str">
            <v xml:space="preserve">M  </v>
          </cell>
          <cell r="C383" t="str">
            <v>B.65 y más</v>
          </cell>
          <cell r="D383">
            <v>1211</v>
          </cell>
          <cell r="E383">
            <v>31266243.16</v>
          </cell>
        </row>
        <row r="384">
          <cell r="A384" t="str">
            <v>La Rioja</v>
          </cell>
          <cell r="B384" t="str">
            <v xml:space="preserve">M  </v>
          </cell>
          <cell r="C384" t="str">
            <v>X.No Informada</v>
          </cell>
          <cell r="D384">
            <v>5</v>
          </cell>
          <cell r="E384">
            <v>91849.85</v>
          </cell>
        </row>
        <row r="385">
          <cell r="A385" t="str">
            <v>La Rioja</v>
          </cell>
          <cell r="B385" t="str">
            <v>Tot</v>
          </cell>
          <cell r="C385" t="str">
            <v>0. TOTAL</v>
          </cell>
          <cell r="D385">
            <v>32672</v>
          </cell>
          <cell r="E385">
            <v>846900225.28999996</v>
          </cell>
        </row>
        <row r="386">
          <cell r="A386" t="str">
            <v>La Rioja</v>
          </cell>
          <cell r="B386" t="str">
            <v>Tot</v>
          </cell>
          <cell r="C386" t="str">
            <v>1.Hasta 24</v>
          </cell>
          <cell r="D386">
            <v>428</v>
          </cell>
          <cell r="E386">
            <v>8305290.2000000002</v>
          </cell>
        </row>
        <row r="387">
          <cell r="A387" t="str">
            <v>La Rioja</v>
          </cell>
          <cell r="B387" t="str">
            <v>Tot</v>
          </cell>
          <cell r="C387" t="str">
            <v>3.25 a 29</v>
          </cell>
          <cell r="D387">
            <v>1472</v>
          </cell>
          <cell r="E387">
            <v>31902166.920000002</v>
          </cell>
        </row>
        <row r="388">
          <cell r="A388" t="str">
            <v>La Rioja</v>
          </cell>
          <cell r="B388" t="str">
            <v>Tot</v>
          </cell>
          <cell r="C388" t="str">
            <v>4.30 a 34</v>
          </cell>
          <cell r="D388">
            <v>2845</v>
          </cell>
          <cell r="E388">
            <v>69228465.510000005</v>
          </cell>
        </row>
        <row r="389">
          <cell r="A389" t="str">
            <v>La Rioja</v>
          </cell>
          <cell r="B389" t="str">
            <v>Tot</v>
          </cell>
          <cell r="C389" t="str">
            <v>5.35 a 39</v>
          </cell>
          <cell r="D389">
            <v>4013</v>
          </cell>
          <cell r="E389">
            <v>100618236.52</v>
          </cell>
        </row>
        <row r="390">
          <cell r="A390" t="str">
            <v>La Rioja</v>
          </cell>
          <cell r="B390" t="str">
            <v>Tot</v>
          </cell>
          <cell r="C390" t="str">
            <v>6.40 a 44</v>
          </cell>
          <cell r="D390">
            <v>4911</v>
          </cell>
          <cell r="E390">
            <v>125984623.04000001</v>
          </cell>
        </row>
        <row r="391">
          <cell r="A391" t="str">
            <v>La Rioja</v>
          </cell>
          <cell r="B391" t="str">
            <v>Tot</v>
          </cell>
          <cell r="C391" t="str">
            <v>7.45 a 49</v>
          </cell>
          <cell r="D391">
            <v>4332</v>
          </cell>
          <cell r="E391">
            <v>110632235.61</v>
          </cell>
        </row>
        <row r="392">
          <cell r="A392" t="str">
            <v>La Rioja</v>
          </cell>
          <cell r="B392" t="str">
            <v>Tot</v>
          </cell>
          <cell r="C392" t="str">
            <v>8.50 a 54</v>
          </cell>
          <cell r="D392">
            <v>4865</v>
          </cell>
          <cell r="E392">
            <v>131621646</v>
          </cell>
        </row>
        <row r="393">
          <cell r="A393" t="str">
            <v>La Rioja</v>
          </cell>
          <cell r="B393" t="str">
            <v>Tot</v>
          </cell>
          <cell r="C393" t="str">
            <v>9.55 a 59</v>
          </cell>
          <cell r="D393">
            <v>4767</v>
          </cell>
          <cell r="E393">
            <v>130598405.98</v>
          </cell>
        </row>
        <row r="394">
          <cell r="A394" t="str">
            <v>La Rioja</v>
          </cell>
          <cell r="B394" t="str">
            <v>Tot</v>
          </cell>
          <cell r="C394" t="str">
            <v>A.60 a 64</v>
          </cell>
          <cell r="D394">
            <v>3140</v>
          </cell>
          <cell r="E394">
            <v>88170392.299999997</v>
          </cell>
        </row>
        <row r="395">
          <cell r="A395" t="str">
            <v>La Rioja</v>
          </cell>
          <cell r="B395" t="str">
            <v>Tot</v>
          </cell>
          <cell r="C395" t="str">
            <v>B.65 y más</v>
          </cell>
          <cell r="D395">
            <v>1780</v>
          </cell>
          <cell r="E395">
            <v>47398579.469999999</v>
          </cell>
        </row>
        <row r="396">
          <cell r="A396" t="str">
            <v>La Rioja</v>
          </cell>
          <cell r="B396" t="str">
            <v>Tot</v>
          </cell>
          <cell r="C396" t="str">
            <v>X.No Informada</v>
          </cell>
          <cell r="D396">
            <v>119</v>
          </cell>
          <cell r="E396">
            <v>2440183.7400000002</v>
          </cell>
        </row>
        <row r="397">
          <cell r="A397" t="str">
            <v>La Rioja</v>
          </cell>
          <cell r="B397" t="str">
            <v xml:space="preserve">x  </v>
          </cell>
          <cell r="C397" t="str">
            <v>0. TOTAL</v>
          </cell>
          <cell r="D397">
            <v>8</v>
          </cell>
          <cell r="E397">
            <v>137438.95000000001</v>
          </cell>
        </row>
        <row r="398">
          <cell r="A398" t="str">
            <v>La Rioja</v>
          </cell>
          <cell r="B398" t="str">
            <v xml:space="preserve">x  </v>
          </cell>
          <cell r="C398" t="str">
            <v>5.35 a 39</v>
          </cell>
          <cell r="D398">
            <v>1</v>
          </cell>
          <cell r="E398">
            <v>14606.31</v>
          </cell>
        </row>
        <row r="399">
          <cell r="A399" t="str">
            <v>La Rioja</v>
          </cell>
          <cell r="B399" t="str">
            <v xml:space="preserve">x  </v>
          </cell>
          <cell r="C399" t="str">
            <v>6.40 a 44</v>
          </cell>
          <cell r="D399">
            <v>1</v>
          </cell>
          <cell r="E399">
            <v>17076.810000000001</v>
          </cell>
        </row>
        <row r="400">
          <cell r="A400" t="str">
            <v>La Rioja</v>
          </cell>
          <cell r="B400" t="str">
            <v xml:space="preserve">x  </v>
          </cell>
          <cell r="C400" t="str">
            <v>X.No Informada</v>
          </cell>
          <cell r="D400">
            <v>6</v>
          </cell>
          <cell r="E400">
            <v>105755.83</v>
          </cell>
        </row>
        <row r="401">
          <cell r="A401" t="str">
            <v>Mendoza</v>
          </cell>
          <cell r="B401" t="str">
            <v xml:space="preserve">F  </v>
          </cell>
          <cell r="C401" t="str">
            <v>0. TOTAL</v>
          </cell>
          <cell r="D401">
            <v>31409</v>
          </cell>
          <cell r="E401">
            <v>1627724538.3399999</v>
          </cell>
        </row>
        <row r="402">
          <cell r="A402" t="str">
            <v>Mendoza</v>
          </cell>
          <cell r="B402" t="str">
            <v xml:space="preserve">F  </v>
          </cell>
          <cell r="C402" t="str">
            <v>1.Hasta 24</v>
          </cell>
          <cell r="D402">
            <v>448</v>
          </cell>
          <cell r="E402">
            <v>8783196.8800000008</v>
          </cell>
        </row>
        <row r="403">
          <cell r="A403" t="str">
            <v>Mendoza</v>
          </cell>
          <cell r="B403" t="str">
            <v xml:space="preserve">F  </v>
          </cell>
          <cell r="C403" t="str">
            <v>3.25 a 29</v>
          </cell>
          <cell r="D403">
            <v>1738</v>
          </cell>
          <cell r="E403">
            <v>60883447.619999997</v>
          </cell>
        </row>
        <row r="404">
          <cell r="A404" t="str">
            <v>Mendoza</v>
          </cell>
          <cell r="B404" t="str">
            <v xml:space="preserve">F  </v>
          </cell>
          <cell r="C404" t="str">
            <v>4.30 a 34</v>
          </cell>
          <cell r="D404">
            <v>3663</v>
          </cell>
          <cell r="E404">
            <v>168118760.88</v>
          </cell>
        </row>
        <row r="405">
          <cell r="A405" t="str">
            <v>Mendoza</v>
          </cell>
          <cell r="B405" t="str">
            <v xml:space="preserve">F  </v>
          </cell>
          <cell r="C405" t="str">
            <v>5.35 a 39</v>
          </cell>
          <cell r="D405">
            <v>4679</v>
          </cell>
          <cell r="E405">
            <v>233425773.97</v>
          </cell>
        </row>
        <row r="406">
          <cell r="A406" t="str">
            <v>Mendoza</v>
          </cell>
          <cell r="B406" t="str">
            <v xml:space="preserve">F  </v>
          </cell>
          <cell r="C406" t="str">
            <v>6.40 a 44</v>
          </cell>
          <cell r="D406">
            <v>5238</v>
          </cell>
          <cell r="E406">
            <v>271482402.83999997</v>
          </cell>
        </row>
        <row r="407">
          <cell r="A407" t="str">
            <v>Mendoza</v>
          </cell>
          <cell r="B407" t="str">
            <v xml:space="preserve">F  </v>
          </cell>
          <cell r="C407" t="str">
            <v>7.45 a 49</v>
          </cell>
          <cell r="D407">
            <v>4875</v>
          </cell>
          <cell r="E407">
            <v>255498000.27000001</v>
          </cell>
        </row>
        <row r="408">
          <cell r="A408" t="str">
            <v>Mendoza</v>
          </cell>
          <cell r="B408" t="str">
            <v xml:space="preserve">F  </v>
          </cell>
          <cell r="C408" t="str">
            <v>8.50 a 54</v>
          </cell>
          <cell r="D408">
            <v>4437</v>
          </cell>
          <cell r="E408">
            <v>243943063.19</v>
          </cell>
        </row>
        <row r="409">
          <cell r="A409" t="str">
            <v>Mendoza</v>
          </cell>
          <cell r="B409" t="str">
            <v xml:space="preserve">F  </v>
          </cell>
          <cell r="C409" t="str">
            <v>9.55 a 59</v>
          </cell>
          <cell r="D409">
            <v>3928</v>
          </cell>
          <cell r="E409">
            <v>222306223.46000001</v>
          </cell>
        </row>
        <row r="410">
          <cell r="A410" t="str">
            <v>Mendoza</v>
          </cell>
          <cell r="B410" t="str">
            <v xml:space="preserve">F  </v>
          </cell>
          <cell r="C410" t="str">
            <v>A.60 a 64</v>
          </cell>
          <cell r="D410">
            <v>1764</v>
          </cell>
          <cell r="E410">
            <v>123031853.42</v>
          </cell>
        </row>
        <row r="411">
          <cell r="A411" t="str">
            <v>Mendoza</v>
          </cell>
          <cell r="B411" t="str">
            <v xml:space="preserve">F  </v>
          </cell>
          <cell r="C411" t="str">
            <v>B.65 y más</v>
          </cell>
          <cell r="D411">
            <v>401</v>
          </cell>
          <cell r="E411">
            <v>29630387.02</v>
          </cell>
        </row>
        <row r="412">
          <cell r="A412" t="str">
            <v>Mendoza</v>
          </cell>
          <cell r="B412" t="str">
            <v xml:space="preserve">F  </v>
          </cell>
          <cell r="C412" t="str">
            <v>X.No Informada</v>
          </cell>
          <cell r="D412">
            <v>238</v>
          </cell>
          <cell r="E412">
            <v>10621428.789999999</v>
          </cell>
        </row>
        <row r="413">
          <cell r="A413" t="str">
            <v>Mendoza</v>
          </cell>
          <cell r="B413" t="str">
            <v xml:space="preserve">M  </v>
          </cell>
          <cell r="C413" t="str">
            <v>0. TOTAL</v>
          </cell>
          <cell r="D413">
            <v>33909</v>
          </cell>
          <cell r="E413">
            <v>1614537397.02</v>
          </cell>
        </row>
        <row r="414">
          <cell r="A414" t="str">
            <v>Mendoza</v>
          </cell>
          <cell r="B414" t="str">
            <v xml:space="preserve">M  </v>
          </cell>
          <cell r="C414" t="str">
            <v>1.Hasta 24</v>
          </cell>
          <cell r="D414">
            <v>821</v>
          </cell>
          <cell r="E414">
            <v>15894862.220000001</v>
          </cell>
        </row>
        <row r="415">
          <cell r="A415" t="str">
            <v>Mendoza</v>
          </cell>
          <cell r="B415" t="str">
            <v xml:space="preserve">M  </v>
          </cell>
          <cell r="C415" t="str">
            <v>3.25 a 29</v>
          </cell>
          <cell r="D415">
            <v>2354</v>
          </cell>
          <cell r="E415">
            <v>68228583.099999994</v>
          </cell>
        </row>
        <row r="416">
          <cell r="A416" t="str">
            <v>Mendoza</v>
          </cell>
          <cell r="B416" t="str">
            <v xml:space="preserve">M  </v>
          </cell>
          <cell r="C416" t="str">
            <v>4.30 a 34</v>
          </cell>
          <cell r="D416">
            <v>3721</v>
          </cell>
          <cell r="E416">
            <v>148146048.02000001</v>
          </cell>
        </row>
        <row r="417">
          <cell r="A417" t="str">
            <v>Mendoza</v>
          </cell>
          <cell r="B417" t="str">
            <v xml:space="preserve">M  </v>
          </cell>
          <cell r="C417" t="str">
            <v>5.35 a 39</v>
          </cell>
          <cell r="D417">
            <v>4426</v>
          </cell>
          <cell r="E417">
            <v>201092630.55000001</v>
          </cell>
        </row>
        <row r="418">
          <cell r="A418" t="str">
            <v>Mendoza</v>
          </cell>
          <cell r="B418" t="str">
            <v xml:space="preserve">M  </v>
          </cell>
          <cell r="C418" t="str">
            <v>6.40 a 44</v>
          </cell>
          <cell r="D418">
            <v>4722</v>
          </cell>
          <cell r="E418">
            <v>229916418.08000001</v>
          </cell>
        </row>
        <row r="419">
          <cell r="A419" t="str">
            <v>Mendoza</v>
          </cell>
          <cell r="B419" t="str">
            <v xml:space="preserve">M  </v>
          </cell>
          <cell r="C419" t="str">
            <v>7.45 a 49</v>
          </cell>
          <cell r="D419">
            <v>4490</v>
          </cell>
          <cell r="E419">
            <v>226316706.12</v>
          </cell>
        </row>
        <row r="420">
          <cell r="A420" t="str">
            <v>Mendoza</v>
          </cell>
          <cell r="B420" t="str">
            <v xml:space="preserve">M  </v>
          </cell>
          <cell r="C420" t="str">
            <v>8.50 a 54</v>
          </cell>
          <cell r="D420">
            <v>4388</v>
          </cell>
          <cell r="E420">
            <v>235003909.72</v>
          </cell>
        </row>
        <row r="421">
          <cell r="A421" t="str">
            <v>Mendoza</v>
          </cell>
          <cell r="B421" t="str">
            <v xml:space="preserve">M  </v>
          </cell>
          <cell r="C421" t="str">
            <v>9.55 a 59</v>
          </cell>
          <cell r="D421">
            <v>4280</v>
          </cell>
          <cell r="E421">
            <v>229889661.93000001</v>
          </cell>
        </row>
        <row r="422">
          <cell r="A422" t="str">
            <v>Mendoza</v>
          </cell>
          <cell r="B422" t="str">
            <v xml:space="preserve">M  </v>
          </cell>
          <cell r="C422" t="str">
            <v>A.60 a 64</v>
          </cell>
          <cell r="D422">
            <v>3792</v>
          </cell>
          <cell r="E422">
            <v>205896299.00999999</v>
          </cell>
        </row>
        <row r="423">
          <cell r="A423" t="str">
            <v>Mendoza</v>
          </cell>
          <cell r="B423" t="str">
            <v xml:space="preserve">M  </v>
          </cell>
          <cell r="C423" t="str">
            <v>B.65 y más</v>
          </cell>
          <cell r="D423">
            <v>901</v>
          </cell>
          <cell r="E423">
            <v>53624455.57</v>
          </cell>
        </row>
        <row r="424">
          <cell r="A424" t="str">
            <v>Mendoza</v>
          </cell>
          <cell r="B424" t="str">
            <v xml:space="preserve">M  </v>
          </cell>
          <cell r="C424" t="str">
            <v>X.No Informada</v>
          </cell>
          <cell r="D424">
            <v>14</v>
          </cell>
          <cell r="E424">
            <v>527822.69999999995</v>
          </cell>
        </row>
        <row r="425">
          <cell r="A425" t="str">
            <v>Mendoza</v>
          </cell>
          <cell r="B425" t="str">
            <v>Tot</v>
          </cell>
          <cell r="C425" t="str">
            <v>0. TOTAL</v>
          </cell>
          <cell r="D425">
            <v>65356</v>
          </cell>
          <cell r="E425">
            <v>3243936160.1300001</v>
          </cell>
        </row>
        <row r="426">
          <cell r="A426" t="str">
            <v>Mendoza</v>
          </cell>
          <cell r="B426" t="str">
            <v>Tot</v>
          </cell>
          <cell r="C426" t="str">
            <v>1.Hasta 24</v>
          </cell>
          <cell r="D426">
            <v>1269</v>
          </cell>
          <cell r="E426">
            <v>24678059.100000001</v>
          </cell>
        </row>
        <row r="427">
          <cell r="A427" t="str">
            <v>Mendoza</v>
          </cell>
          <cell r="B427" t="str">
            <v>Tot</v>
          </cell>
          <cell r="C427" t="str">
            <v>3.25 a 29</v>
          </cell>
          <cell r="D427">
            <v>4092</v>
          </cell>
          <cell r="E427">
            <v>129112030.72</v>
          </cell>
        </row>
        <row r="428">
          <cell r="A428" t="str">
            <v>Mendoza</v>
          </cell>
          <cell r="B428" t="str">
            <v>Tot</v>
          </cell>
          <cell r="C428" t="str">
            <v>4.30 a 34</v>
          </cell>
          <cell r="D428">
            <v>7385</v>
          </cell>
          <cell r="E428">
            <v>316334241.70999998</v>
          </cell>
        </row>
        <row r="429">
          <cell r="A429" t="str">
            <v>Mendoza</v>
          </cell>
          <cell r="B429" t="str">
            <v>Tot</v>
          </cell>
          <cell r="C429" t="str">
            <v>5.35 a 39</v>
          </cell>
          <cell r="D429">
            <v>9105</v>
          </cell>
          <cell r="E429">
            <v>434518404.51999998</v>
          </cell>
        </row>
        <row r="430">
          <cell r="A430" t="str">
            <v>Mendoza</v>
          </cell>
          <cell r="B430" t="str">
            <v>Tot</v>
          </cell>
          <cell r="C430" t="str">
            <v>6.40 a 44</v>
          </cell>
          <cell r="D430">
            <v>9962</v>
          </cell>
          <cell r="E430">
            <v>501522363.31</v>
          </cell>
        </row>
        <row r="431">
          <cell r="A431" t="str">
            <v>Mendoza</v>
          </cell>
          <cell r="B431" t="str">
            <v>Tot</v>
          </cell>
          <cell r="C431" t="str">
            <v>7.45 a 49</v>
          </cell>
          <cell r="D431">
            <v>9366</v>
          </cell>
          <cell r="E431">
            <v>482012220.70999998</v>
          </cell>
        </row>
        <row r="432">
          <cell r="A432" t="str">
            <v>Mendoza</v>
          </cell>
          <cell r="B432" t="str">
            <v>Tot</v>
          </cell>
          <cell r="C432" t="str">
            <v>8.50 a 54</v>
          </cell>
          <cell r="D432">
            <v>8825</v>
          </cell>
          <cell r="E432">
            <v>478946972.91000003</v>
          </cell>
        </row>
        <row r="433">
          <cell r="A433" t="str">
            <v>Mendoza</v>
          </cell>
          <cell r="B433" t="str">
            <v>Tot</v>
          </cell>
          <cell r="C433" t="str">
            <v>9.55 a 59</v>
          </cell>
          <cell r="D433">
            <v>8208</v>
          </cell>
          <cell r="E433">
            <v>452195885.38999999</v>
          </cell>
        </row>
        <row r="434">
          <cell r="A434" t="str">
            <v>Mendoza</v>
          </cell>
          <cell r="B434" t="str">
            <v>Tot</v>
          </cell>
          <cell r="C434" t="str">
            <v>A.60 a 64</v>
          </cell>
          <cell r="D434">
            <v>5556</v>
          </cell>
          <cell r="E434">
            <v>328928152.43000001</v>
          </cell>
        </row>
        <row r="435">
          <cell r="A435" t="str">
            <v>Mendoza</v>
          </cell>
          <cell r="B435" t="str">
            <v>Tot</v>
          </cell>
          <cell r="C435" t="str">
            <v>B.65 y más</v>
          </cell>
          <cell r="D435">
            <v>1302</v>
          </cell>
          <cell r="E435">
            <v>83254842.590000004</v>
          </cell>
        </row>
        <row r="436">
          <cell r="A436" t="str">
            <v>Mendoza</v>
          </cell>
          <cell r="B436" t="str">
            <v>Tot</v>
          </cell>
          <cell r="C436" t="str">
            <v>X.No Informada</v>
          </cell>
          <cell r="D436">
            <v>286</v>
          </cell>
          <cell r="E436">
            <v>12432986.74</v>
          </cell>
        </row>
        <row r="437">
          <cell r="A437" t="str">
            <v>Mendoza</v>
          </cell>
          <cell r="B437" t="str">
            <v xml:space="preserve">x  </v>
          </cell>
          <cell r="C437" t="str">
            <v>0. TOTAL</v>
          </cell>
          <cell r="D437">
            <v>38</v>
          </cell>
          <cell r="E437">
            <v>1674224.77</v>
          </cell>
        </row>
        <row r="438">
          <cell r="A438" t="str">
            <v>Mendoza</v>
          </cell>
          <cell r="B438" t="str">
            <v xml:space="preserve">x  </v>
          </cell>
          <cell r="C438" t="str">
            <v>4.30 a 34</v>
          </cell>
          <cell r="D438">
            <v>1</v>
          </cell>
          <cell r="E438">
            <v>69432.81</v>
          </cell>
        </row>
        <row r="439">
          <cell r="A439" t="str">
            <v>Mendoza</v>
          </cell>
          <cell r="B439" t="str">
            <v xml:space="preserve">x  </v>
          </cell>
          <cell r="C439" t="str">
            <v>6.40 a 44</v>
          </cell>
          <cell r="D439">
            <v>2</v>
          </cell>
          <cell r="E439">
            <v>123542.39</v>
          </cell>
        </row>
        <row r="440">
          <cell r="A440" t="str">
            <v>Mendoza</v>
          </cell>
          <cell r="B440" t="str">
            <v xml:space="preserve">x  </v>
          </cell>
          <cell r="C440" t="str">
            <v>7.45 a 49</v>
          </cell>
          <cell r="D440">
            <v>1</v>
          </cell>
          <cell r="E440">
            <v>197514.32</v>
          </cell>
        </row>
        <row r="441">
          <cell r="A441" t="str">
            <v>Mendoza</v>
          </cell>
          <cell r="B441" t="str">
            <v xml:space="preserve">x  </v>
          </cell>
          <cell r="C441" t="str">
            <v>X.No Informada</v>
          </cell>
          <cell r="D441">
            <v>34</v>
          </cell>
          <cell r="E441">
            <v>1283735.25</v>
          </cell>
        </row>
        <row r="442">
          <cell r="A442" t="str">
            <v>zzz</v>
          </cell>
          <cell r="B442" t="str">
            <v xml:space="preserve">x  </v>
          </cell>
          <cell r="C442" t="str">
            <v>4.30 a 34</v>
          </cell>
          <cell r="D442">
            <v>1</v>
          </cell>
          <cell r="E442">
            <v>69432.81</v>
          </cell>
        </row>
        <row r="443">
          <cell r="A443" t="str">
            <v>Misiones</v>
          </cell>
          <cell r="B443" t="str">
            <v xml:space="preserve">F  </v>
          </cell>
          <cell r="C443" t="str">
            <v>0. TOTAL</v>
          </cell>
          <cell r="D443">
            <v>203</v>
          </cell>
          <cell r="E443">
            <v>6438421.6100000003</v>
          </cell>
        </row>
        <row r="444">
          <cell r="A444" t="str">
            <v>Misiones</v>
          </cell>
          <cell r="B444" t="str">
            <v xml:space="preserve">F  </v>
          </cell>
          <cell r="C444" t="str">
            <v>1.Hasta 24</v>
          </cell>
          <cell r="D444">
            <v>3</v>
          </cell>
          <cell r="E444">
            <v>67293.490000000005</v>
          </cell>
        </row>
        <row r="445">
          <cell r="A445" t="str">
            <v>Misiones</v>
          </cell>
          <cell r="B445" t="str">
            <v xml:space="preserve">F  </v>
          </cell>
          <cell r="C445" t="str">
            <v>3.25 a 29</v>
          </cell>
          <cell r="D445">
            <v>25</v>
          </cell>
          <cell r="E445">
            <v>656729.06999999995</v>
          </cell>
        </row>
        <row r="446">
          <cell r="A446" t="str">
            <v>Misiones</v>
          </cell>
          <cell r="B446" t="str">
            <v xml:space="preserve">F  </v>
          </cell>
          <cell r="C446" t="str">
            <v>4.30 a 34</v>
          </cell>
          <cell r="D446">
            <v>27</v>
          </cell>
          <cell r="E446">
            <v>775668.11</v>
          </cell>
        </row>
        <row r="447">
          <cell r="A447" t="str">
            <v>Misiones</v>
          </cell>
          <cell r="B447" t="str">
            <v xml:space="preserve">F  </v>
          </cell>
          <cell r="C447" t="str">
            <v>5.35 a 39</v>
          </cell>
          <cell r="D447">
            <v>30</v>
          </cell>
          <cell r="E447">
            <v>888487.67</v>
          </cell>
        </row>
        <row r="448">
          <cell r="A448" t="str">
            <v>Misiones</v>
          </cell>
          <cell r="B448" t="str">
            <v xml:space="preserve">F  </v>
          </cell>
          <cell r="C448" t="str">
            <v>6.40 a 44</v>
          </cell>
          <cell r="D448">
            <v>37</v>
          </cell>
          <cell r="E448">
            <v>1156597.18</v>
          </cell>
        </row>
        <row r="449">
          <cell r="A449" t="str">
            <v>Misiones</v>
          </cell>
          <cell r="B449" t="str">
            <v xml:space="preserve">F  </v>
          </cell>
          <cell r="C449" t="str">
            <v>7.45 a 49</v>
          </cell>
          <cell r="D449">
            <v>27</v>
          </cell>
          <cell r="E449">
            <v>973001.07</v>
          </cell>
        </row>
        <row r="450">
          <cell r="A450" t="str">
            <v>Misiones</v>
          </cell>
          <cell r="B450" t="str">
            <v xml:space="preserve">F  </v>
          </cell>
          <cell r="C450" t="str">
            <v>8.50 a 54</v>
          </cell>
          <cell r="D450">
            <v>24</v>
          </cell>
          <cell r="E450">
            <v>870532.2</v>
          </cell>
        </row>
        <row r="451">
          <cell r="A451" t="str">
            <v>Misiones</v>
          </cell>
          <cell r="B451" t="str">
            <v xml:space="preserve">F  </v>
          </cell>
          <cell r="C451" t="str">
            <v>9.55 a 59</v>
          </cell>
          <cell r="D451">
            <v>18</v>
          </cell>
          <cell r="E451">
            <v>620856.18000000005</v>
          </cell>
        </row>
        <row r="452">
          <cell r="A452" t="str">
            <v>Misiones</v>
          </cell>
          <cell r="B452" t="str">
            <v xml:space="preserve">F  </v>
          </cell>
          <cell r="C452" t="str">
            <v>A.60 a 64</v>
          </cell>
          <cell r="D452">
            <v>7</v>
          </cell>
          <cell r="E452">
            <v>240259.22</v>
          </cell>
        </row>
        <row r="453">
          <cell r="A453" t="str">
            <v>Misiones</v>
          </cell>
          <cell r="B453" t="str">
            <v xml:space="preserve">F  </v>
          </cell>
          <cell r="C453" t="str">
            <v>B.65 y más</v>
          </cell>
          <cell r="D453">
            <v>4</v>
          </cell>
          <cell r="E453">
            <v>152576.56</v>
          </cell>
        </row>
        <row r="454">
          <cell r="A454" t="str">
            <v>Misiones</v>
          </cell>
          <cell r="B454" t="str">
            <v xml:space="preserve">F  </v>
          </cell>
          <cell r="C454" t="str">
            <v>X.No Informada</v>
          </cell>
          <cell r="D454">
            <v>1</v>
          </cell>
          <cell r="E454">
            <v>36420.86</v>
          </cell>
        </row>
        <row r="455">
          <cell r="A455" t="str">
            <v>Misiones</v>
          </cell>
          <cell r="B455" t="str">
            <v xml:space="preserve">M  </v>
          </cell>
          <cell r="C455" t="str">
            <v>0. TOTAL</v>
          </cell>
          <cell r="D455">
            <v>282</v>
          </cell>
          <cell r="E455">
            <v>9243901.7699999996</v>
          </cell>
        </row>
        <row r="456">
          <cell r="A456" t="str">
            <v>Misiones</v>
          </cell>
          <cell r="B456" t="str">
            <v xml:space="preserve">M  </v>
          </cell>
          <cell r="C456" t="str">
            <v>1.Hasta 24</v>
          </cell>
          <cell r="D456">
            <v>6</v>
          </cell>
          <cell r="E456">
            <v>157533.20000000001</v>
          </cell>
        </row>
        <row r="457">
          <cell r="A457" t="str">
            <v>Misiones</v>
          </cell>
          <cell r="B457" t="str">
            <v xml:space="preserve">M  </v>
          </cell>
          <cell r="C457" t="str">
            <v>3.25 a 29</v>
          </cell>
          <cell r="D457">
            <v>18</v>
          </cell>
          <cell r="E457">
            <v>464847.6</v>
          </cell>
        </row>
        <row r="458">
          <cell r="A458" t="str">
            <v>Misiones</v>
          </cell>
          <cell r="B458" t="str">
            <v xml:space="preserve">M  </v>
          </cell>
          <cell r="C458" t="str">
            <v>4.30 a 34</v>
          </cell>
          <cell r="D458">
            <v>30</v>
          </cell>
          <cell r="E458">
            <v>912358.15</v>
          </cell>
        </row>
        <row r="459">
          <cell r="A459" t="str">
            <v>Misiones</v>
          </cell>
          <cell r="B459" t="str">
            <v xml:space="preserve">M  </v>
          </cell>
          <cell r="C459" t="str">
            <v>5.35 a 39</v>
          </cell>
          <cell r="D459">
            <v>31</v>
          </cell>
          <cell r="E459">
            <v>951452.98</v>
          </cell>
        </row>
        <row r="460">
          <cell r="A460" t="str">
            <v>Misiones</v>
          </cell>
          <cell r="B460" t="str">
            <v xml:space="preserve">M  </v>
          </cell>
          <cell r="C460" t="str">
            <v>6.40 a 44</v>
          </cell>
          <cell r="D460">
            <v>56</v>
          </cell>
          <cell r="E460">
            <v>1748853.45</v>
          </cell>
        </row>
        <row r="461">
          <cell r="A461" t="str">
            <v>Misiones</v>
          </cell>
          <cell r="B461" t="str">
            <v xml:space="preserve">M  </v>
          </cell>
          <cell r="C461" t="str">
            <v>7.45 a 49</v>
          </cell>
          <cell r="D461">
            <v>34</v>
          </cell>
          <cell r="E461">
            <v>1173954.97</v>
          </cell>
        </row>
        <row r="462">
          <cell r="A462" t="str">
            <v>Misiones</v>
          </cell>
          <cell r="B462" t="str">
            <v xml:space="preserve">M  </v>
          </cell>
          <cell r="C462" t="str">
            <v>8.50 a 54</v>
          </cell>
          <cell r="D462">
            <v>27</v>
          </cell>
          <cell r="E462">
            <v>967532.56</v>
          </cell>
        </row>
        <row r="463">
          <cell r="A463" t="str">
            <v>Misiones</v>
          </cell>
          <cell r="B463" t="str">
            <v xml:space="preserve">M  </v>
          </cell>
          <cell r="C463" t="str">
            <v>9.55 a 59</v>
          </cell>
          <cell r="D463">
            <v>37</v>
          </cell>
          <cell r="E463">
            <v>1350701.95</v>
          </cell>
        </row>
        <row r="464">
          <cell r="A464" t="str">
            <v>Misiones</v>
          </cell>
          <cell r="B464" t="str">
            <v xml:space="preserve">M  </v>
          </cell>
          <cell r="C464" t="str">
            <v>A.60 a 64</v>
          </cell>
          <cell r="D464">
            <v>22</v>
          </cell>
          <cell r="E464">
            <v>809225.82</v>
          </cell>
        </row>
        <row r="465">
          <cell r="A465" t="str">
            <v>Misiones</v>
          </cell>
          <cell r="B465" t="str">
            <v xml:space="preserve">M  </v>
          </cell>
          <cell r="C465" t="str">
            <v>B.65 y más</v>
          </cell>
          <cell r="D465">
            <v>20</v>
          </cell>
          <cell r="E465">
            <v>686469.66</v>
          </cell>
        </row>
        <row r="466">
          <cell r="A466" t="str">
            <v>Misiones</v>
          </cell>
          <cell r="B466" t="str">
            <v xml:space="preserve">M  </v>
          </cell>
          <cell r="C466" t="str">
            <v>X.No Informada</v>
          </cell>
          <cell r="D466">
            <v>1</v>
          </cell>
          <cell r="E466">
            <v>20971.43</v>
          </cell>
        </row>
        <row r="467">
          <cell r="A467" t="str">
            <v>Misiones</v>
          </cell>
          <cell r="B467" t="str">
            <v>Tot</v>
          </cell>
          <cell r="C467" t="str">
            <v>0. TOTAL</v>
          </cell>
          <cell r="D467">
            <v>485</v>
          </cell>
          <cell r="E467">
            <v>15682323.380000001</v>
          </cell>
        </row>
        <row r="468">
          <cell r="A468" t="str">
            <v>Misiones</v>
          </cell>
          <cell r="B468" t="str">
            <v>Tot</v>
          </cell>
          <cell r="C468" t="str">
            <v>1.Hasta 24</v>
          </cell>
          <cell r="D468">
            <v>9</v>
          </cell>
          <cell r="E468">
            <v>224826.69</v>
          </cell>
        </row>
        <row r="469">
          <cell r="A469" t="str">
            <v>Misiones</v>
          </cell>
          <cell r="B469" t="str">
            <v>Tot</v>
          </cell>
          <cell r="C469" t="str">
            <v>3.25 a 29</v>
          </cell>
          <cell r="D469">
            <v>43</v>
          </cell>
          <cell r="E469">
            <v>1121576.67</v>
          </cell>
        </row>
        <row r="470">
          <cell r="A470" t="str">
            <v>Misiones</v>
          </cell>
          <cell r="B470" t="str">
            <v>Tot</v>
          </cell>
          <cell r="C470" t="str">
            <v>4.30 a 34</v>
          </cell>
          <cell r="D470">
            <v>57</v>
          </cell>
          <cell r="E470">
            <v>1688026.26</v>
          </cell>
        </row>
        <row r="471">
          <cell r="A471" t="str">
            <v>Misiones</v>
          </cell>
          <cell r="B471" t="str">
            <v>Tot</v>
          </cell>
          <cell r="C471" t="str">
            <v>5.35 a 39</v>
          </cell>
          <cell r="D471">
            <v>61</v>
          </cell>
          <cell r="E471">
            <v>1839940.65</v>
          </cell>
        </row>
        <row r="472">
          <cell r="A472" t="str">
            <v>Misiones</v>
          </cell>
          <cell r="B472" t="str">
            <v>Tot</v>
          </cell>
          <cell r="C472" t="str">
            <v>6.40 a 44</v>
          </cell>
          <cell r="D472">
            <v>93</v>
          </cell>
          <cell r="E472">
            <v>2905450.63</v>
          </cell>
        </row>
        <row r="473">
          <cell r="A473" t="str">
            <v>Misiones</v>
          </cell>
          <cell r="B473" t="str">
            <v>Tot</v>
          </cell>
          <cell r="C473" t="str">
            <v>7.45 a 49</v>
          </cell>
          <cell r="D473">
            <v>61</v>
          </cell>
          <cell r="E473">
            <v>2146956.04</v>
          </cell>
        </row>
        <row r="474">
          <cell r="A474" t="str">
            <v>Misiones</v>
          </cell>
          <cell r="B474" t="str">
            <v>Tot</v>
          </cell>
          <cell r="C474" t="str">
            <v>8.50 a 54</v>
          </cell>
          <cell r="D474">
            <v>51</v>
          </cell>
          <cell r="E474">
            <v>1838064.76</v>
          </cell>
        </row>
        <row r="475">
          <cell r="A475" t="str">
            <v>Misiones</v>
          </cell>
          <cell r="B475" t="str">
            <v>Tot</v>
          </cell>
          <cell r="C475" t="str">
            <v>9.55 a 59</v>
          </cell>
          <cell r="D475">
            <v>55</v>
          </cell>
          <cell r="E475">
            <v>1971558.13</v>
          </cell>
        </row>
        <row r="476">
          <cell r="A476" t="str">
            <v>Misiones</v>
          </cell>
          <cell r="B476" t="str">
            <v>Tot</v>
          </cell>
          <cell r="C476" t="str">
            <v>A.60 a 64</v>
          </cell>
          <cell r="D476">
            <v>29</v>
          </cell>
          <cell r="E476">
            <v>1049485.04</v>
          </cell>
        </row>
        <row r="477">
          <cell r="A477" t="str">
            <v>Misiones</v>
          </cell>
          <cell r="B477" t="str">
            <v>Tot</v>
          </cell>
          <cell r="C477" t="str">
            <v>B.65 y más</v>
          </cell>
          <cell r="D477">
            <v>24</v>
          </cell>
          <cell r="E477">
            <v>839046.22</v>
          </cell>
        </row>
        <row r="478">
          <cell r="A478" t="str">
            <v>Misiones</v>
          </cell>
          <cell r="B478" t="str">
            <v>Tot</v>
          </cell>
          <cell r="C478" t="str">
            <v>X.No Informada</v>
          </cell>
          <cell r="D478">
            <v>2</v>
          </cell>
          <cell r="E478">
            <v>57392.29</v>
          </cell>
        </row>
        <row r="479">
          <cell r="A479" t="str">
            <v>Neuquén</v>
          </cell>
          <cell r="B479" t="str">
            <v xml:space="preserve">F  </v>
          </cell>
          <cell r="C479" t="str">
            <v>0. TOTAL</v>
          </cell>
          <cell r="D479">
            <v>228</v>
          </cell>
          <cell r="E479">
            <v>14326737.050000001</v>
          </cell>
        </row>
        <row r="480">
          <cell r="A480" t="str">
            <v>Neuquén</v>
          </cell>
          <cell r="B480" t="str">
            <v xml:space="preserve">F  </v>
          </cell>
          <cell r="C480" t="str">
            <v>1.Hasta 24</v>
          </cell>
          <cell r="D480">
            <v>11</v>
          </cell>
          <cell r="E480">
            <v>235382.31</v>
          </cell>
        </row>
        <row r="481">
          <cell r="A481" t="str">
            <v>Neuquén</v>
          </cell>
          <cell r="B481" t="str">
            <v xml:space="preserve">F  </v>
          </cell>
          <cell r="C481" t="str">
            <v>3.25 a 29</v>
          </cell>
          <cell r="D481">
            <v>24</v>
          </cell>
          <cell r="E481">
            <v>843597.59</v>
          </cell>
        </row>
        <row r="482">
          <cell r="A482" t="str">
            <v>Neuquén</v>
          </cell>
          <cell r="B482" t="str">
            <v xml:space="preserve">F  </v>
          </cell>
          <cell r="C482" t="str">
            <v>4.30 a 34</v>
          </cell>
          <cell r="D482">
            <v>52</v>
          </cell>
          <cell r="E482">
            <v>3180542.18</v>
          </cell>
        </row>
        <row r="483">
          <cell r="A483" t="str">
            <v>Neuquén</v>
          </cell>
          <cell r="B483" t="str">
            <v xml:space="preserve">F  </v>
          </cell>
          <cell r="C483" t="str">
            <v>5.35 a 39</v>
          </cell>
          <cell r="D483">
            <v>52</v>
          </cell>
          <cell r="E483">
            <v>3923547.67</v>
          </cell>
        </row>
        <row r="484">
          <cell r="A484" t="str">
            <v>Neuquén</v>
          </cell>
          <cell r="B484" t="str">
            <v xml:space="preserve">F  </v>
          </cell>
          <cell r="C484" t="str">
            <v>6.40 a 44</v>
          </cell>
          <cell r="D484">
            <v>35</v>
          </cell>
          <cell r="E484">
            <v>2209141.92</v>
          </cell>
        </row>
        <row r="485">
          <cell r="A485" t="str">
            <v>Neuquén</v>
          </cell>
          <cell r="B485" t="str">
            <v xml:space="preserve">F  </v>
          </cell>
          <cell r="C485" t="str">
            <v>7.45 a 49</v>
          </cell>
          <cell r="D485">
            <v>25</v>
          </cell>
          <cell r="E485">
            <v>1766077.76</v>
          </cell>
        </row>
        <row r="486">
          <cell r="A486" t="str">
            <v>Neuquén</v>
          </cell>
          <cell r="B486" t="str">
            <v xml:space="preserve">F  </v>
          </cell>
          <cell r="C486" t="str">
            <v>8.50 a 54</v>
          </cell>
          <cell r="D486">
            <v>16</v>
          </cell>
          <cell r="E486">
            <v>1151010.44</v>
          </cell>
        </row>
        <row r="487">
          <cell r="A487" t="str">
            <v>Neuquén</v>
          </cell>
          <cell r="B487" t="str">
            <v xml:space="preserve">F  </v>
          </cell>
          <cell r="C487" t="str">
            <v>9.55 a 59</v>
          </cell>
          <cell r="D487">
            <v>9</v>
          </cell>
          <cell r="E487">
            <v>781121.83</v>
          </cell>
        </row>
        <row r="488">
          <cell r="A488" t="str">
            <v>Neuquén</v>
          </cell>
          <cell r="B488" t="str">
            <v xml:space="preserve">F  </v>
          </cell>
          <cell r="C488" t="str">
            <v>A.60 a 64</v>
          </cell>
          <cell r="D488">
            <v>2</v>
          </cell>
          <cell r="E488">
            <v>73234.490000000005</v>
          </cell>
        </row>
        <row r="489">
          <cell r="A489" t="str">
            <v>Neuquén</v>
          </cell>
          <cell r="B489" t="str">
            <v xml:space="preserve">F  </v>
          </cell>
          <cell r="C489" t="str">
            <v>X.No Informada</v>
          </cell>
          <cell r="D489">
            <v>2</v>
          </cell>
          <cell r="E489">
            <v>163080.85999999999</v>
          </cell>
        </row>
        <row r="490">
          <cell r="A490" t="str">
            <v>Neuquén</v>
          </cell>
          <cell r="B490" t="str">
            <v xml:space="preserve">M  </v>
          </cell>
          <cell r="C490" t="str">
            <v>0. TOTAL</v>
          </cell>
          <cell r="D490">
            <v>1036</v>
          </cell>
          <cell r="E490">
            <v>118699733.58</v>
          </cell>
        </row>
        <row r="491">
          <cell r="A491" t="str">
            <v>Neuquén</v>
          </cell>
          <cell r="B491" t="str">
            <v xml:space="preserve">M  </v>
          </cell>
          <cell r="C491" t="str">
            <v>1.Hasta 24</v>
          </cell>
          <cell r="D491">
            <v>40</v>
          </cell>
          <cell r="E491">
            <v>2599221.23</v>
          </cell>
        </row>
        <row r="492">
          <cell r="A492" t="str">
            <v>Neuquén</v>
          </cell>
          <cell r="B492" t="str">
            <v xml:space="preserve">M  </v>
          </cell>
          <cell r="C492" t="str">
            <v>3.25 a 29</v>
          </cell>
          <cell r="D492">
            <v>81</v>
          </cell>
          <cell r="E492">
            <v>6695047.5999999996</v>
          </cell>
        </row>
        <row r="493">
          <cell r="A493" t="str">
            <v>Neuquén</v>
          </cell>
          <cell r="B493" t="str">
            <v xml:space="preserve">M  </v>
          </cell>
          <cell r="C493" t="str">
            <v>4.30 a 34</v>
          </cell>
          <cell r="D493">
            <v>176</v>
          </cell>
          <cell r="E493">
            <v>19371677.170000002</v>
          </cell>
        </row>
        <row r="494">
          <cell r="A494" t="str">
            <v>Neuquén</v>
          </cell>
          <cell r="B494" t="str">
            <v xml:space="preserve">M  </v>
          </cell>
          <cell r="C494" t="str">
            <v>5.35 a 39</v>
          </cell>
          <cell r="D494">
            <v>189</v>
          </cell>
          <cell r="E494">
            <v>21943374.300000001</v>
          </cell>
        </row>
        <row r="495">
          <cell r="A495" t="str">
            <v>Neuquén</v>
          </cell>
          <cell r="B495" t="str">
            <v xml:space="preserve">M  </v>
          </cell>
          <cell r="C495" t="str">
            <v>6.40 a 44</v>
          </cell>
          <cell r="D495">
            <v>179</v>
          </cell>
          <cell r="E495">
            <v>21649610.289999999</v>
          </cell>
        </row>
        <row r="496">
          <cell r="A496" t="str">
            <v>Neuquén</v>
          </cell>
          <cell r="B496" t="str">
            <v xml:space="preserve">M  </v>
          </cell>
          <cell r="C496" t="str">
            <v>7.45 a 49</v>
          </cell>
          <cell r="D496">
            <v>137</v>
          </cell>
          <cell r="E496">
            <v>16599821.390000001</v>
          </cell>
        </row>
        <row r="497">
          <cell r="A497" t="str">
            <v>Neuquén</v>
          </cell>
          <cell r="B497" t="str">
            <v xml:space="preserve">M  </v>
          </cell>
          <cell r="C497" t="str">
            <v>8.50 a 54</v>
          </cell>
          <cell r="D497">
            <v>115</v>
          </cell>
          <cell r="E497">
            <v>13570798.130000001</v>
          </cell>
        </row>
        <row r="498">
          <cell r="A498" t="str">
            <v>Neuquén</v>
          </cell>
          <cell r="B498" t="str">
            <v xml:space="preserve">M  </v>
          </cell>
          <cell r="C498" t="str">
            <v>9.55 a 59</v>
          </cell>
          <cell r="D498">
            <v>79</v>
          </cell>
          <cell r="E498">
            <v>10442448.59</v>
          </cell>
        </row>
        <row r="499">
          <cell r="A499" t="str">
            <v>Neuquén</v>
          </cell>
          <cell r="B499" t="str">
            <v xml:space="preserve">M  </v>
          </cell>
          <cell r="C499" t="str">
            <v>A.60 a 64</v>
          </cell>
          <cell r="D499">
            <v>35</v>
          </cell>
          <cell r="E499">
            <v>5359587.05</v>
          </cell>
        </row>
        <row r="500">
          <cell r="A500" t="str">
            <v>Neuquén</v>
          </cell>
          <cell r="B500" t="str">
            <v xml:space="preserve">M  </v>
          </cell>
          <cell r="C500" t="str">
            <v>B.65 y más</v>
          </cell>
          <cell r="D500">
            <v>5</v>
          </cell>
          <cell r="E500">
            <v>468147.83</v>
          </cell>
        </row>
        <row r="501">
          <cell r="A501" t="str">
            <v>Neuquén</v>
          </cell>
          <cell r="B501" t="str">
            <v>Tot</v>
          </cell>
          <cell r="C501" t="str">
            <v>0. TOTAL</v>
          </cell>
          <cell r="D501">
            <v>1264</v>
          </cell>
          <cell r="E501">
            <v>133026470.63</v>
          </cell>
        </row>
        <row r="502">
          <cell r="A502" t="str">
            <v>Neuquén</v>
          </cell>
          <cell r="B502" t="str">
            <v>Tot</v>
          </cell>
          <cell r="C502" t="str">
            <v>1.Hasta 24</v>
          </cell>
          <cell r="D502">
            <v>51</v>
          </cell>
          <cell r="E502">
            <v>2834603.54</v>
          </cell>
        </row>
        <row r="503">
          <cell r="A503" t="str">
            <v>Neuquén</v>
          </cell>
          <cell r="B503" t="str">
            <v>Tot</v>
          </cell>
          <cell r="C503" t="str">
            <v>3.25 a 29</v>
          </cell>
          <cell r="D503">
            <v>105</v>
          </cell>
          <cell r="E503">
            <v>7538645.1900000004</v>
          </cell>
        </row>
        <row r="504">
          <cell r="A504" t="str">
            <v>Neuquén</v>
          </cell>
          <cell r="B504" t="str">
            <v>Tot</v>
          </cell>
          <cell r="C504" t="str">
            <v>4.30 a 34</v>
          </cell>
          <cell r="D504">
            <v>228</v>
          </cell>
          <cell r="E504">
            <v>22552219.350000001</v>
          </cell>
        </row>
        <row r="505">
          <cell r="A505" t="str">
            <v>Neuquén</v>
          </cell>
          <cell r="B505" t="str">
            <v>Tot</v>
          </cell>
          <cell r="C505" t="str">
            <v>5.35 a 39</v>
          </cell>
          <cell r="D505">
            <v>241</v>
          </cell>
          <cell r="E505">
            <v>25866921.969999999</v>
          </cell>
        </row>
        <row r="506">
          <cell r="A506" t="str">
            <v>Neuquén</v>
          </cell>
          <cell r="B506" t="str">
            <v>Tot</v>
          </cell>
          <cell r="C506" t="str">
            <v>6.40 a 44</v>
          </cell>
          <cell r="D506">
            <v>214</v>
          </cell>
          <cell r="E506">
            <v>23858752.210000001</v>
          </cell>
        </row>
        <row r="507">
          <cell r="A507" t="str">
            <v>Neuquén</v>
          </cell>
          <cell r="B507" t="str">
            <v>Tot</v>
          </cell>
          <cell r="C507" t="str">
            <v>7.45 a 49</v>
          </cell>
          <cell r="D507">
            <v>162</v>
          </cell>
          <cell r="E507">
            <v>18365899.149999999</v>
          </cell>
        </row>
        <row r="508">
          <cell r="A508" t="str">
            <v>Neuquén</v>
          </cell>
          <cell r="B508" t="str">
            <v>Tot</v>
          </cell>
          <cell r="C508" t="str">
            <v>8.50 a 54</v>
          </cell>
          <cell r="D508">
            <v>131</v>
          </cell>
          <cell r="E508">
            <v>14721808.57</v>
          </cell>
        </row>
        <row r="509">
          <cell r="A509" t="str">
            <v>Neuquén</v>
          </cell>
          <cell r="B509" t="str">
            <v>Tot</v>
          </cell>
          <cell r="C509" t="str">
            <v>9.55 a 59</v>
          </cell>
          <cell r="D509">
            <v>88</v>
          </cell>
          <cell r="E509">
            <v>11223570.42</v>
          </cell>
        </row>
        <row r="510">
          <cell r="A510" t="str">
            <v>Neuquén</v>
          </cell>
          <cell r="B510" t="str">
            <v>Tot</v>
          </cell>
          <cell r="C510" t="str">
            <v>A.60 a 64</v>
          </cell>
          <cell r="D510">
            <v>37</v>
          </cell>
          <cell r="E510">
            <v>5432821.54</v>
          </cell>
        </row>
        <row r="511">
          <cell r="A511" t="str">
            <v>Neuquén</v>
          </cell>
          <cell r="B511" t="str">
            <v>Tot</v>
          </cell>
          <cell r="C511" t="str">
            <v>B.65 y más</v>
          </cell>
          <cell r="D511">
            <v>5</v>
          </cell>
          <cell r="E511">
            <v>468147.83</v>
          </cell>
        </row>
        <row r="512">
          <cell r="A512" t="str">
            <v>Neuquén</v>
          </cell>
          <cell r="B512" t="str">
            <v>Tot</v>
          </cell>
          <cell r="C512" t="str">
            <v>X.No Informada</v>
          </cell>
          <cell r="D512">
            <v>2</v>
          </cell>
          <cell r="E512">
            <v>163080.85999999999</v>
          </cell>
        </row>
        <row r="513">
          <cell r="A513" t="str">
            <v>Río Negro</v>
          </cell>
          <cell r="B513" t="str">
            <v xml:space="preserve">F  </v>
          </cell>
          <cell r="C513" t="str">
            <v>0. TOTAL</v>
          </cell>
          <cell r="D513">
            <v>18014</v>
          </cell>
          <cell r="E513">
            <v>782139776.5</v>
          </cell>
        </row>
        <row r="514">
          <cell r="A514" t="str">
            <v>Río Negro</v>
          </cell>
          <cell r="B514" t="str">
            <v xml:space="preserve">F  </v>
          </cell>
          <cell r="C514" t="str">
            <v>1.Hasta 24</v>
          </cell>
          <cell r="D514">
            <v>288</v>
          </cell>
          <cell r="E514">
            <v>5524118.29</v>
          </cell>
        </row>
        <row r="515">
          <cell r="A515" t="str">
            <v>Río Negro</v>
          </cell>
          <cell r="B515" t="str">
            <v xml:space="preserve">F  </v>
          </cell>
          <cell r="C515" t="str">
            <v>3.25 a 29</v>
          </cell>
          <cell r="D515">
            <v>1190</v>
          </cell>
          <cell r="E515">
            <v>32082232.34</v>
          </cell>
        </row>
        <row r="516">
          <cell r="A516" t="str">
            <v>Río Negro</v>
          </cell>
          <cell r="B516" t="str">
            <v xml:space="preserve">F  </v>
          </cell>
          <cell r="C516" t="str">
            <v>4.30 a 34</v>
          </cell>
          <cell r="D516">
            <v>2228</v>
          </cell>
          <cell r="E516">
            <v>71818027.890000001</v>
          </cell>
        </row>
        <row r="517">
          <cell r="A517" t="str">
            <v>Río Negro</v>
          </cell>
          <cell r="B517" t="str">
            <v xml:space="preserve">F  </v>
          </cell>
          <cell r="C517" t="str">
            <v>5.35 a 39</v>
          </cell>
          <cell r="D517">
            <v>3043</v>
          </cell>
          <cell r="E517">
            <v>104377164.23999999</v>
          </cell>
        </row>
        <row r="518">
          <cell r="A518" t="str">
            <v>Río Negro</v>
          </cell>
          <cell r="B518" t="str">
            <v xml:space="preserve">F  </v>
          </cell>
          <cell r="C518" t="str">
            <v>6.40 a 44</v>
          </cell>
          <cell r="D518">
            <v>3054</v>
          </cell>
          <cell r="E518">
            <v>108071415.48</v>
          </cell>
        </row>
        <row r="519">
          <cell r="A519" t="str">
            <v>Río Negro</v>
          </cell>
          <cell r="B519" t="str">
            <v xml:space="preserve">F  </v>
          </cell>
          <cell r="C519" t="str">
            <v>7.45 a 49</v>
          </cell>
          <cell r="D519">
            <v>2661</v>
          </cell>
          <cell r="E519">
            <v>94115120.739999995</v>
          </cell>
        </row>
        <row r="520">
          <cell r="A520" t="str">
            <v>Río Negro</v>
          </cell>
          <cell r="B520" t="str">
            <v xml:space="preserve">F  </v>
          </cell>
          <cell r="C520" t="str">
            <v>8.50 a 54</v>
          </cell>
          <cell r="D520">
            <v>2355</v>
          </cell>
          <cell r="E520">
            <v>149026697.33000001</v>
          </cell>
        </row>
        <row r="521">
          <cell r="A521" t="str">
            <v>Río Negro</v>
          </cell>
          <cell r="B521" t="str">
            <v xml:space="preserve">F  </v>
          </cell>
          <cell r="C521" t="str">
            <v>9.55 a 59</v>
          </cell>
          <cell r="D521">
            <v>2118</v>
          </cell>
          <cell r="E521">
            <v>143516373.22</v>
          </cell>
        </row>
        <row r="522">
          <cell r="A522" t="str">
            <v>Río Negro</v>
          </cell>
          <cell r="B522" t="str">
            <v xml:space="preserve">F  </v>
          </cell>
          <cell r="C522" t="str">
            <v>A.60 a 64</v>
          </cell>
          <cell r="D522">
            <v>760</v>
          </cell>
          <cell r="E522">
            <v>55133002.539999999</v>
          </cell>
        </row>
        <row r="523">
          <cell r="A523" t="str">
            <v>Río Negro</v>
          </cell>
          <cell r="B523" t="str">
            <v xml:space="preserve">F  </v>
          </cell>
          <cell r="C523" t="str">
            <v>B.65 y más</v>
          </cell>
          <cell r="D523">
            <v>200</v>
          </cell>
          <cell r="E523">
            <v>14229079.949999999</v>
          </cell>
        </row>
        <row r="524">
          <cell r="A524" t="str">
            <v>Río Negro</v>
          </cell>
          <cell r="B524" t="str">
            <v xml:space="preserve">F  </v>
          </cell>
          <cell r="C524" t="str">
            <v>X.No Informada</v>
          </cell>
          <cell r="D524">
            <v>117</v>
          </cell>
          <cell r="E524">
            <v>4246544.4800000004</v>
          </cell>
        </row>
        <row r="525">
          <cell r="A525" t="str">
            <v>Río Negro</v>
          </cell>
          <cell r="B525" t="str">
            <v xml:space="preserve">M  </v>
          </cell>
          <cell r="C525" t="str">
            <v>0. TOTAL</v>
          </cell>
          <cell r="D525">
            <v>14820</v>
          </cell>
          <cell r="E525">
            <v>683373989.08000004</v>
          </cell>
        </row>
        <row r="526">
          <cell r="A526" t="str">
            <v>Río Negro</v>
          </cell>
          <cell r="B526" t="str">
            <v xml:space="preserve">M  </v>
          </cell>
          <cell r="C526" t="str">
            <v>1.Hasta 24</v>
          </cell>
          <cell r="D526">
            <v>492</v>
          </cell>
          <cell r="E526">
            <v>11892035.18</v>
          </cell>
        </row>
        <row r="527">
          <cell r="A527" t="str">
            <v>Río Negro</v>
          </cell>
          <cell r="B527" t="str">
            <v xml:space="preserve">M  </v>
          </cell>
          <cell r="C527" t="str">
            <v>3.25 a 29</v>
          </cell>
          <cell r="D527">
            <v>1296</v>
          </cell>
          <cell r="E527">
            <v>39351317.149999999</v>
          </cell>
        </row>
        <row r="528">
          <cell r="A528" t="str">
            <v>Río Negro</v>
          </cell>
          <cell r="B528" t="str">
            <v xml:space="preserve">M  </v>
          </cell>
          <cell r="C528" t="str">
            <v>4.30 a 34</v>
          </cell>
          <cell r="D528">
            <v>1808</v>
          </cell>
          <cell r="E528">
            <v>63230821.329999998</v>
          </cell>
        </row>
        <row r="529">
          <cell r="A529" t="str">
            <v>Río Negro</v>
          </cell>
          <cell r="B529" t="str">
            <v xml:space="preserve">M  </v>
          </cell>
          <cell r="C529" t="str">
            <v>5.35 a 39</v>
          </cell>
          <cell r="D529">
            <v>2038</v>
          </cell>
          <cell r="E529">
            <v>75795089.480000004</v>
          </cell>
        </row>
        <row r="530">
          <cell r="A530" t="str">
            <v>Río Negro</v>
          </cell>
          <cell r="B530" t="str">
            <v xml:space="preserve">M  </v>
          </cell>
          <cell r="C530" t="str">
            <v>6.40 a 44</v>
          </cell>
          <cell r="D530">
            <v>2132</v>
          </cell>
          <cell r="E530">
            <v>88300785.299999997</v>
          </cell>
        </row>
        <row r="531">
          <cell r="A531" t="str">
            <v>Río Negro</v>
          </cell>
          <cell r="B531" t="str">
            <v xml:space="preserve">M  </v>
          </cell>
          <cell r="C531" t="str">
            <v>7.45 a 49</v>
          </cell>
          <cell r="D531">
            <v>1928</v>
          </cell>
          <cell r="E531">
            <v>78677519.150000006</v>
          </cell>
        </row>
        <row r="532">
          <cell r="A532" t="str">
            <v>Río Negro</v>
          </cell>
          <cell r="B532" t="str">
            <v xml:space="preserve">M  </v>
          </cell>
          <cell r="C532" t="str">
            <v>8.50 a 54</v>
          </cell>
          <cell r="D532">
            <v>1707</v>
          </cell>
          <cell r="E532">
            <v>79793284.5</v>
          </cell>
        </row>
        <row r="533">
          <cell r="A533" t="str">
            <v>Río Negro</v>
          </cell>
          <cell r="B533" t="str">
            <v xml:space="preserve">M  </v>
          </cell>
          <cell r="C533" t="str">
            <v>9.55 a 59</v>
          </cell>
          <cell r="D533">
            <v>1627</v>
          </cell>
          <cell r="E533">
            <v>115190778.34999999</v>
          </cell>
        </row>
        <row r="534">
          <cell r="A534" t="str">
            <v>Río Negro</v>
          </cell>
          <cell r="B534" t="str">
            <v xml:space="preserve">M  </v>
          </cell>
          <cell r="C534" t="str">
            <v>A.60 a 64</v>
          </cell>
          <cell r="D534">
            <v>1400</v>
          </cell>
          <cell r="E534">
            <v>102304766.79000001</v>
          </cell>
        </row>
        <row r="535">
          <cell r="A535" t="str">
            <v>Río Negro</v>
          </cell>
          <cell r="B535" t="str">
            <v xml:space="preserve">M  </v>
          </cell>
          <cell r="C535" t="str">
            <v>B.65 y más</v>
          </cell>
          <cell r="D535">
            <v>387</v>
          </cell>
          <cell r="E535">
            <v>28630981.98</v>
          </cell>
        </row>
        <row r="536">
          <cell r="A536" t="str">
            <v>Río Negro</v>
          </cell>
          <cell r="B536" t="str">
            <v xml:space="preserve">M  </v>
          </cell>
          <cell r="C536" t="str">
            <v>X.No Informada</v>
          </cell>
          <cell r="D536">
            <v>5</v>
          </cell>
          <cell r="E536">
            <v>206609.87</v>
          </cell>
        </row>
        <row r="537">
          <cell r="A537" t="str">
            <v>Río Negro</v>
          </cell>
          <cell r="B537" t="str">
            <v>Tot</v>
          </cell>
          <cell r="C537" t="str">
            <v>0. TOTAL</v>
          </cell>
          <cell r="D537">
            <v>32854</v>
          </cell>
          <cell r="E537">
            <v>1466069476.4200001</v>
          </cell>
        </row>
        <row r="538">
          <cell r="A538" t="str">
            <v>Río Negro</v>
          </cell>
          <cell r="B538" t="str">
            <v>Tot</v>
          </cell>
          <cell r="C538" t="str">
            <v>1.Hasta 24</v>
          </cell>
          <cell r="D538">
            <v>780</v>
          </cell>
          <cell r="E538">
            <v>17416153.469999999</v>
          </cell>
        </row>
        <row r="539">
          <cell r="A539" t="str">
            <v>Río Negro</v>
          </cell>
          <cell r="B539" t="str">
            <v>Tot</v>
          </cell>
          <cell r="C539" t="str">
            <v>3.25 a 29</v>
          </cell>
          <cell r="D539">
            <v>2486</v>
          </cell>
          <cell r="E539">
            <v>71433549.489999995</v>
          </cell>
        </row>
        <row r="540">
          <cell r="A540" t="str">
            <v>Río Negro</v>
          </cell>
          <cell r="B540" t="str">
            <v>Tot</v>
          </cell>
          <cell r="C540" t="str">
            <v>4.30 a 34</v>
          </cell>
          <cell r="D540">
            <v>4036</v>
          </cell>
          <cell r="E540">
            <v>135048849.22</v>
          </cell>
        </row>
        <row r="541">
          <cell r="A541" t="str">
            <v>Río Negro</v>
          </cell>
          <cell r="B541" t="str">
            <v>Tot</v>
          </cell>
          <cell r="C541" t="str">
            <v>5.35 a 39</v>
          </cell>
          <cell r="D541">
            <v>5083</v>
          </cell>
          <cell r="E541">
            <v>180255904.81999999</v>
          </cell>
        </row>
        <row r="542">
          <cell r="A542" t="str">
            <v>Río Negro</v>
          </cell>
          <cell r="B542" t="str">
            <v>Tot</v>
          </cell>
          <cell r="C542" t="str">
            <v>6.40 a 44</v>
          </cell>
          <cell r="D542">
            <v>5188</v>
          </cell>
          <cell r="E542">
            <v>196419281.63999999</v>
          </cell>
        </row>
        <row r="543">
          <cell r="A543" t="str">
            <v>Río Negro</v>
          </cell>
          <cell r="B543" t="str">
            <v>Tot</v>
          </cell>
          <cell r="C543" t="str">
            <v>7.45 a 49</v>
          </cell>
          <cell r="D543">
            <v>4589</v>
          </cell>
          <cell r="E543">
            <v>172792639.88999999</v>
          </cell>
        </row>
        <row r="544">
          <cell r="A544" t="str">
            <v>Río Negro</v>
          </cell>
          <cell r="B544" t="str">
            <v>Tot</v>
          </cell>
          <cell r="C544" t="str">
            <v>8.50 a 54</v>
          </cell>
          <cell r="D544">
            <v>4062</v>
          </cell>
          <cell r="E544">
            <v>228819981.83000001</v>
          </cell>
        </row>
        <row r="545">
          <cell r="A545" t="str">
            <v>Río Negro</v>
          </cell>
          <cell r="B545" t="str">
            <v>Tot</v>
          </cell>
          <cell r="C545" t="str">
            <v>9.55 a 59</v>
          </cell>
          <cell r="D545">
            <v>3745</v>
          </cell>
          <cell r="E545">
            <v>258707151.56999999</v>
          </cell>
        </row>
        <row r="546">
          <cell r="A546" t="str">
            <v>Río Negro</v>
          </cell>
          <cell r="B546" t="str">
            <v>Tot</v>
          </cell>
          <cell r="C546" t="str">
            <v>A.60 a 64</v>
          </cell>
          <cell r="D546">
            <v>2160</v>
          </cell>
          <cell r="E546">
            <v>157437769.33000001</v>
          </cell>
        </row>
        <row r="547">
          <cell r="A547" t="str">
            <v>Río Negro</v>
          </cell>
          <cell r="B547" t="str">
            <v>Tot</v>
          </cell>
          <cell r="C547" t="str">
            <v>B.65 y más</v>
          </cell>
          <cell r="D547">
            <v>587</v>
          </cell>
          <cell r="E547">
            <v>42860061.93</v>
          </cell>
        </row>
        <row r="548">
          <cell r="A548" t="str">
            <v>Río Negro</v>
          </cell>
          <cell r="B548" t="str">
            <v>Tot</v>
          </cell>
          <cell r="C548" t="str">
            <v>X.No Informada</v>
          </cell>
          <cell r="D548">
            <v>138</v>
          </cell>
          <cell r="E548">
            <v>4878133.2300000004</v>
          </cell>
        </row>
        <row r="549">
          <cell r="A549" t="str">
            <v>Río Negro</v>
          </cell>
          <cell r="B549" t="str">
            <v xml:space="preserve">x  </v>
          </cell>
          <cell r="C549" t="str">
            <v>0. TOTAL</v>
          </cell>
          <cell r="D549">
            <v>20</v>
          </cell>
          <cell r="E549">
            <v>555710.84</v>
          </cell>
        </row>
        <row r="550">
          <cell r="A550" t="str">
            <v>Río Negro</v>
          </cell>
          <cell r="B550" t="str">
            <v xml:space="preserve">x  </v>
          </cell>
          <cell r="C550" t="str">
            <v>5.35 a 39</v>
          </cell>
          <cell r="D550">
            <v>2</v>
          </cell>
          <cell r="E550">
            <v>83651.100000000006</v>
          </cell>
        </row>
        <row r="551">
          <cell r="A551" t="str">
            <v>Río Negro</v>
          </cell>
          <cell r="B551" t="str">
            <v xml:space="preserve">x  </v>
          </cell>
          <cell r="C551" t="str">
            <v>6.40 a 44</v>
          </cell>
          <cell r="D551">
            <v>2</v>
          </cell>
          <cell r="E551">
            <v>47080.86</v>
          </cell>
        </row>
        <row r="552">
          <cell r="A552" t="str">
            <v>Río Negro</v>
          </cell>
          <cell r="B552" t="str">
            <v xml:space="preserve">x  </v>
          </cell>
          <cell r="C552" t="str">
            <v>X.No Informada</v>
          </cell>
          <cell r="D552">
            <v>16</v>
          </cell>
          <cell r="E552">
            <v>424978.88</v>
          </cell>
        </row>
        <row r="553">
          <cell r="A553" t="str">
            <v>Salta</v>
          </cell>
          <cell r="B553" t="str">
            <v xml:space="preserve">F  </v>
          </cell>
          <cell r="C553" t="str">
            <v>0. TOTAL</v>
          </cell>
          <cell r="D553">
            <v>23416</v>
          </cell>
          <cell r="E553">
            <v>872033096.15999997</v>
          </cell>
        </row>
        <row r="554">
          <cell r="A554" t="str">
            <v>Salta</v>
          </cell>
          <cell r="B554" t="str">
            <v xml:space="preserve">F  </v>
          </cell>
          <cell r="C554" t="str">
            <v>1.Hasta 24</v>
          </cell>
          <cell r="D554">
            <v>262</v>
          </cell>
          <cell r="E554">
            <v>7591085.7599999998</v>
          </cell>
        </row>
        <row r="555">
          <cell r="A555" t="str">
            <v>Salta</v>
          </cell>
          <cell r="B555" t="str">
            <v xml:space="preserve">F  </v>
          </cell>
          <cell r="C555" t="str">
            <v>3.25 a 29</v>
          </cell>
          <cell r="D555">
            <v>1123</v>
          </cell>
          <cell r="E555">
            <v>33422420.059999999</v>
          </cell>
        </row>
        <row r="556">
          <cell r="A556" t="str">
            <v>Salta</v>
          </cell>
          <cell r="B556" t="str">
            <v xml:space="preserve">F  </v>
          </cell>
          <cell r="C556" t="str">
            <v>4.30 a 34</v>
          </cell>
          <cell r="D556">
            <v>2549</v>
          </cell>
          <cell r="E556">
            <v>84152379.209999993</v>
          </cell>
        </row>
        <row r="557">
          <cell r="A557" t="str">
            <v>Salta</v>
          </cell>
          <cell r="B557" t="str">
            <v xml:space="preserve">F  </v>
          </cell>
          <cell r="C557" t="str">
            <v>5.35 a 39</v>
          </cell>
          <cell r="D557">
            <v>3621</v>
          </cell>
          <cell r="E557">
            <v>122529751.23999999</v>
          </cell>
        </row>
        <row r="558">
          <cell r="A558" t="str">
            <v>Salta</v>
          </cell>
          <cell r="B558" t="str">
            <v xml:space="preserve">F  </v>
          </cell>
          <cell r="C558" t="str">
            <v>6.40 a 44</v>
          </cell>
          <cell r="D558">
            <v>4082</v>
          </cell>
          <cell r="E558">
            <v>147987506.80000001</v>
          </cell>
        </row>
        <row r="559">
          <cell r="A559" t="str">
            <v>Salta</v>
          </cell>
          <cell r="B559" t="str">
            <v xml:space="preserve">F  </v>
          </cell>
          <cell r="C559" t="str">
            <v>7.45 a 49</v>
          </cell>
          <cell r="D559">
            <v>3459</v>
          </cell>
          <cell r="E559">
            <v>122316462.92</v>
          </cell>
        </row>
        <row r="560">
          <cell r="A560" t="str">
            <v>Salta</v>
          </cell>
          <cell r="B560" t="str">
            <v xml:space="preserve">F  </v>
          </cell>
          <cell r="C560" t="str">
            <v>8.50 a 54</v>
          </cell>
          <cell r="D560">
            <v>2987</v>
          </cell>
          <cell r="E560">
            <v>115777356.55</v>
          </cell>
        </row>
        <row r="561">
          <cell r="A561" t="str">
            <v>Salta</v>
          </cell>
          <cell r="B561" t="str">
            <v xml:space="preserve">F  </v>
          </cell>
          <cell r="C561" t="str">
            <v>9.55 a 59</v>
          </cell>
          <cell r="D561">
            <v>3146</v>
          </cell>
          <cell r="E561">
            <v>139360065.12</v>
          </cell>
        </row>
        <row r="562">
          <cell r="A562" t="str">
            <v>Salta</v>
          </cell>
          <cell r="B562" t="str">
            <v xml:space="preserve">F  </v>
          </cell>
          <cell r="C562" t="str">
            <v>A.60 a 64</v>
          </cell>
          <cell r="D562">
            <v>1516</v>
          </cell>
          <cell r="E562">
            <v>74528544.319999993</v>
          </cell>
        </row>
        <row r="563">
          <cell r="A563" t="str">
            <v>Salta</v>
          </cell>
          <cell r="B563" t="str">
            <v xml:space="preserve">F  </v>
          </cell>
          <cell r="C563" t="str">
            <v>B.65 y más</v>
          </cell>
          <cell r="D563">
            <v>371</v>
          </cell>
          <cell r="E563">
            <v>16210419.85</v>
          </cell>
        </row>
        <row r="564">
          <cell r="A564" t="str">
            <v>Salta</v>
          </cell>
          <cell r="B564" t="str">
            <v xml:space="preserve">F  </v>
          </cell>
          <cell r="C564" t="str">
            <v>X.No Informada</v>
          </cell>
          <cell r="D564">
            <v>300</v>
          </cell>
          <cell r="E564">
            <v>8157104.3300000001</v>
          </cell>
        </row>
        <row r="565">
          <cell r="A565" t="str">
            <v>Salta</v>
          </cell>
          <cell r="B565" t="str">
            <v xml:space="preserve">M  </v>
          </cell>
          <cell r="C565" t="str">
            <v>0. TOTAL</v>
          </cell>
          <cell r="D565">
            <v>21361</v>
          </cell>
          <cell r="E565">
            <v>802799412.85000002</v>
          </cell>
        </row>
        <row r="566">
          <cell r="A566" t="str">
            <v>Salta</v>
          </cell>
          <cell r="B566" t="str">
            <v xml:space="preserve">M  </v>
          </cell>
          <cell r="C566" t="str">
            <v>1.Hasta 24</v>
          </cell>
          <cell r="D566">
            <v>373</v>
          </cell>
          <cell r="E566">
            <v>8920705.4700000007</v>
          </cell>
        </row>
        <row r="567">
          <cell r="A567" t="str">
            <v>Salta</v>
          </cell>
          <cell r="B567" t="str">
            <v xml:space="preserve">M  </v>
          </cell>
          <cell r="C567" t="str">
            <v>3.25 a 29</v>
          </cell>
          <cell r="D567">
            <v>1234</v>
          </cell>
          <cell r="E567">
            <v>31500892.780000001</v>
          </cell>
        </row>
        <row r="568">
          <cell r="A568" t="str">
            <v>Salta</v>
          </cell>
          <cell r="B568" t="str">
            <v xml:space="preserve">M  </v>
          </cell>
          <cell r="C568" t="str">
            <v>4.30 a 34</v>
          </cell>
          <cell r="D568">
            <v>2283</v>
          </cell>
          <cell r="E568">
            <v>66584536.469999999</v>
          </cell>
        </row>
        <row r="569">
          <cell r="A569" t="str">
            <v>Salta</v>
          </cell>
          <cell r="B569" t="str">
            <v xml:space="preserve">M  </v>
          </cell>
          <cell r="C569" t="str">
            <v>5.35 a 39</v>
          </cell>
          <cell r="D569">
            <v>2930</v>
          </cell>
          <cell r="E569">
            <v>93940276.390000001</v>
          </cell>
        </row>
        <row r="570">
          <cell r="A570" t="str">
            <v>Salta</v>
          </cell>
          <cell r="B570" t="str">
            <v xml:space="preserve">M  </v>
          </cell>
          <cell r="C570" t="str">
            <v>6.40 a 44</v>
          </cell>
          <cell r="D570">
            <v>3100</v>
          </cell>
          <cell r="E570">
            <v>112274017.06999999</v>
          </cell>
        </row>
        <row r="571">
          <cell r="A571" t="str">
            <v>Salta</v>
          </cell>
          <cell r="B571" t="str">
            <v xml:space="preserve">M  </v>
          </cell>
          <cell r="C571" t="str">
            <v>7.45 a 49</v>
          </cell>
          <cell r="D571">
            <v>2811</v>
          </cell>
          <cell r="E571">
            <v>106729715.33</v>
          </cell>
        </row>
        <row r="572">
          <cell r="A572" t="str">
            <v>Salta</v>
          </cell>
          <cell r="B572" t="str">
            <v xml:space="preserve">M  </v>
          </cell>
          <cell r="C572" t="str">
            <v>8.50 a 54</v>
          </cell>
          <cell r="D572">
            <v>2768</v>
          </cell>
          <cell r="E572">
            <v>110885653.12</v>
          </cell>
        </row>
        <row r="573">
          <cell r="A573" t="str">
            <v>Salta</v>
          </cell>
          <cell r="B573" t="str">
            <v xml:space="preserve">M  </v>
          </cell>
          <cell r="C573" t="str">
            <v>9.55 a 59</v>
          </cell>
          <cell r="D573">
            <v>2768</v>
          </cell>
          <cell r="E573">
            <v>118762997.83</v>
          </cell>
        </row>
        <row r="574">
          <cell r="A574" t="str">
            <v>Salta</v>
          </cell>
          <cell r="B574" t="str">
            <v xml:space="preserve">M  </v>
          </cell>
          <cell r="C574" t="str">
            <v>A.60 a 64</v>
          </cell>
          <cell r="D574">
            <v>2280</v>
          </cell>
          <cell r="E574">
            <v>110308241.58</v>
          </cell>
        </row>
        <row r="575">
          <cell r="A575" t="str">
            <v>Salta</v>
          </cell>
          <cell r="B575" t="str">
            <v xml:space="preserve">M  </v>
          </cell>
          <cell r="C575" t="str">
            <v>B.65 y más</v>
          </cell>
          <cell r="D575">
            <v>810</v>
          </cell>
          <cell r="E575">
            <v>42813669.82</v>
          </cell>
        </row>
        <row r="576">
          <cell r="A576" t="str">
            <v>Salta</v>
          </cell>
          <cell r="B576" t="str">
            <v xml:space="preserve">M  </v>
          </cell>
          <cell r="C576" t="str">
            <v>X.No Informada</v>
          </cell>
          <cell r="D576">
            <v>4</v>
          </cell>
          <cell r="E576">
            <v>78706.990000000005</v>
          </cell>
        </row>
        <row r="577">
          <cell r="A577" t="str">
            <v>Salta</v>
          </cell>
          <cell r="B577" t="str">
            <v>Tot</v>
          </cell>
          <cell r="C577" t="str">
            <v>0. TOTAL</v>
          </cell>
          <cell r="D577">
            <v>44806</v>
          </cell>
          <cell r="E577">
            <v>1675335916.22</v>
          </cell>
        </row>
        <row r="578">
          <cell r="A578" t="str">
            <v>Salta</v>
          </cell>
          <cell r="B578" t="str">
            <v>Tot</v>
          </cell>
          <cell r="C578" t="str">
            <v>1.Hasta 24</v>
          </cell>
          <cell r="D578">
            <v>635</v>
          </cell>
          <cell r="E578">
            <v>16511791.23</v>
          </cell>
        </row>
        <row r="579">
          <cell r="A579" t="str">
            <v>Salta</v>
          </cell>
          <cell r="B579" t="str">
            <v>Tot</v>
          </cell>
          <cell r="C579" t="str">
            <v>3.25 a 29</v>
          </cell>
          <cell r="D579">
            <v>2357</v>
          </cell>
          <cell r="E579">
            <v>64923312.840000004</v>
          </cell>
        </row>
        <row r="580">
          <cell r="A580" t="str">
            <v>Salta</v>
          </cell>
          <cell r="B580" t="str">
            <v>Tot</v>
          </cell>
          <cell r="C580" t="str">
            <v>4.30 a 34</v>
          </cell>
          <cell r="D580">
            <v>4832</v>
          </cell>
          <cell r="E580">
            <v>150736915.68000001</v>
          </cell>
        </row>
        <row r="581">
          <cell r="A581" t="str">
            <v>Salta</v>
          </cell>
          <cell r="B581" t="str">
            <v>Tot</v>
          </cell>
          <cell r="C581" t="str">
            <v>5.35 a 39</v>
          </cell>
          <cell r="D581">
            <v>6551</v>
          </cell>
          <cell r="E581">
            <v>216470027.63</v>
          </cell>
        </row>
        <row r="582">
          <cell r="A582" t="str">
            <v>Salta</v>
          </cell>
          <cell r="B582" t="str">
            <v>Tot</v>
          </cell>
          <cell r="C582" t="str">
            <v>6.40 a 44</v>
          </cell>
          <cell r="D582">
            <v>7182</v>
          </cell>
          <cell r="E582">
            <v>260261523.87</v>
          </cell>
        </row>
        <row r="583">
          <cell r="A583" t="str">
            <v>Salta</v>
          </cell>
          <cell r="B583" t="str">
            <v>Tot</v>
          </cell>
          <cell r="C583" t="str">
            <v>7.45 a 49</v>
          </cell>
          <cell r="D583">
            <v>6272</v>
          </cell>
          <cell r="E583">
            <v>229142523.69</v>
          </cell>
        </row>
        <row r="584">
          <cell r="A584" t="str">
            <v>Salta</v>
          </cell>
          <cell r="B584" t="str">
            <v>Tot</v>
          </cell>
          <cell r="C584" t="str">
            <v>8.50 a 54</v>
          </cell>
          <cell r="D584">
            <v>5755</v>
          </cell>
          <cell r="E584">
            <v>226663009.66999999</v>
          </cell>
        </row>
        <row r="585">
          <cell r="A585" t="str">
            <v>Salta</v>
          </cell>
          <cell r="B585" t="str">
            <v>Tot</v>
          </cell>
          <cell r="C585" t="str">
            <v>9.55 a 59</v>
          </cell>
          <cell r="D585">
            <v>5914</v>
          </cell>
          <cell r="E585">
            <v>258123062.94999999</v>
          </cell>
        </row>
        <row r="586">
          <cell r="A586" t="str">
            <v>Salta</v>
          </cell>
          <cell r="B586" t="str">
            <v>Tot</v>
          </cell>
          <cell r="C586" t="str">
            <v>A.60 a 64</v>
          </cell>
          <cell r="D586">
            <v>3796</v>
          </cell>
          <cell r="E586">
            <v>184836785.90000001</v>
          </cell>
        </row>
        <row r="587">
          <cell r="A587" t="str">
            <v>Salta</v>
          </cell>
          <cell r="B587" t="str">
            <v>Tot</v>
          </cell>
          <cell r="C587" t="str">
            <v>B.65 y más</v>
          </cell>
          <cell r="D587">
            <v>1181</v>
          </cell>
          <cell r="E587">
            <v>59024089.670000002</v>
          </cell>
        </row>
        <row r="588">
          <cell r="A588" t="str">
            <v>Salta</v>
          </cell>
          <cell r="B588" t="str">
            <v>Tot</v>
          </cell>
          <cell r="C588" t="str">
            <v>X.No Informada</v>
          </cell>
          <cell r="D588">
            <v>331</v>
          </cell>
          <cell r="E588">
            <v>8642873.0899999999</v>
          </cell>
        </row>
        <row r="589">
          <cell r="A589" t="str">
            <v>Salta</v>
          </cell>
          <cell r="B589" t="str">
            <v xml:space="preserve">x  </v>
          </cell>
          <cell r="C589" t="str">
            <v>0. TOTAL</v>
          </cell>
          <cell r="D589">
            <v>29</v>
          </cell>
          <cell r="E589">
            <v>503407.21</v>
          </cell>
        </row>
        <row r="590">
          <cell r="A590" t="str">
            <v>Salta</v>
          </cell>
          <cell r="B590" t="str">
            <v xml:space="preserve">x  </v>
          </cell>
          <cell r="C590" t="str">
            <v>7.45 a 49</v>
          </cell>
          <cell r="D590">
            <v>2</v>
          </cell>
          <cell r="E590">
            <v>96345.44</v>
          </cell>
        </row>
        <row r="591">
          <cell r="A591" t="str">
            <v>Salta</v>
          </cell>
          <cell r="B591" t="str">
            <v xml:space="preserve">x  </v>
          </cell>
          <cell r="C591" t="str">
            <v>X.No Informada</v>
          </cell>
          <cell r="D591">
            <v>27</v>
          </cell>
          <cell r="E591">
            <v>407061.77</v>
          </cell>
        </row>
        <row r="592">
          <cell r="A592" t="str">
            <v>San Juan</v>
          </cell>
          <cell r="B592" t="str">
            <v xml:space="preserve">F  </v>
          </cell>
          <cell r="C592" t="str">
            <v>0. TOTAL</v>
          </cell>
          <cell r="D592">
            <v>10587</v>
          </cell>
          <cell r="E592">
            <v>561098593.92999995</v>
          </cell>
        </row>
        <row r="593">
          <cell r="A593" t="str">
            <v>San Juan</v>
          </cell>
          <cell r="B593" t="str">
            <v xml:space="preserve">F  </v>
          </cell>
          <cell r="C593" t="str">
            <v>1.Hasta 24</v>
          </cell>
          <cell r="D593">
            <v>118</v>
          </cell>
          <cell r="E593">
            <v>6049302.8399999999</v>
          </cell>
        </row>
        <row r="594">
          <cell r="A594" t="str">
            <v>San Juan</v>
          </cell>
          <cell r="B594" t="str">
            <v xml:space="preserve">F  </v>
          </cell>
          <cell r="C594" t="str">
            <v>3.25 a 29</v>
          </cell>
          <cell r="D594">
            <v>719</v>
          </cell>
          <cell r="E594">
            <v>36599269.43</v>
          </cell>
        </row>
        <row r="595">
          <cell r="A595" t="str">
            <v>San Juan</v>
          </cell>
          <cell r="B595" t="str">
            <v xml:space="preserve">F  </v>
          </cell>
          <cell r="C595" t="str">
            <v>4.30 a 34</v>
          </cell>
          <cell r="D595">
            <v>1311</v>
          </cell>
          <cell r="E595">
            <v>64885031.93</v>
          </cell>
        </row>
        <row r="596">
          <cell r="A596" t="str">
            <v>San Juan</v>
          </cell>
          <cell r="B596" t="str">
            <v xml:space="preserve">F  </v>
          </cell>
          <cell r="C596" t="str">
            <v>5.35 a 39</v>
          </cell>
          <cell r="D596">
            <v>1680</v>
          </cell>
          <cell r="E596">
            <v>87314884.290000007</v>
          </cell>
        </row>
        <row r="597">
          <cell r="A597" t="str">
            <v>San Juan</v>
          </cell>
          <cell r="B597" t="str">
            <v xml:space="preserve">F  </v>
          </cell>
          <cell r="C597" t="str">
            <v>6.40 a 44</v>
          </cell>
          <cell r="D597">
            <v>1625</v>
          </cell>
          <cell r="E597">
            <v>83822538.540000007</v>
          </cell>
        </row>
        <row r="598">
          <cell r="A598" t="str">
            <v>San Juan</v>
          </cell>
          <cell r="B598" t="str">
            <v xml:space="preserve">F  </v>
          </cell>
          <cell r="C598" t="str">
            <v>7.45 a 49</v>
          </cell>
          <cell r="D598">
            <v>1383</v>
          </cell>
          <cell r="E598">
            <v>73160330.640000001</v>
          </cell>
        </row>
        <row r="599">
          <cell r="A599" t="str">
            <v>San Juan</v>
          </cell>
          <cell r="B599" t="str">
            <v xml:space="preserve">F  </v>
          </cell>
          <cell r="C599" t="str">
            <v>8.50 a 54</v>
          </cell>
          <cell r="D599">
            <v>1388</v>
          </cell>
          <cell r="E599">
            <v>75053980.930000007</v>
          </cell>
        </row>
        <row r="600">
          <cell r="A600" t="str">
            <v>San Juan</v>
          </cell>
          <cell r="B600" t="str">
            <v xml:space="preserve">F  </v>
          </cell>
          <cell r="C600" t="str">
            <v>9.55 a 59</v>
          </cell>
          <cell r="D600">
            <v>1462</v>
          </cell>
          <cell r="E600">
            <v>80945994.890000001</v>
          </cell>
        </row>
        <row r="601">
          <cell r="A601" t="str">
            <v>San Juan</v>
          </cell>
          <cell r="B601" t="str">
            <v xml:space="preserve">F  </v>
          </cell>
          <cell r="C601" t="str">
            <v>A.60 a 64</v>
          </cell>
          <cell r="D601">
            <v>687</v>
          </cell>
          <cell r="E601">
            <v>42070523.200000003</v>
          </cell>
        </row>
        <row r="602">
          <cell r="A602" t="str">
            <v>San Juan</v>
          </cell>
          <cell r="B602" t="str">
            <v xml:space="preserve">F  </v>
          </cell>
          <cell r="C602" t="str">
            <v>B.65 y más</v>
          </cell>
          <cell r="D602">
            <v>171</v>
          </cell>
          <cell r="E602">
            <v>9545939.2400000002</v>
          </cell>
        </row>
        <row r="603">
          <cell r="A603" t="str">
            <v>San Juan</v>
          </cell>
          <cell r="B603" t="str">
            <v xml:space="preserve">F  </v>
          </cell>
          <cell r="C603" t="str">
            <v>X.No Informada</v>
          </cell>
          <cell r="D603">
            <v>43</v>
          </cell>
          <cell r="E603">
            <v>1650798</v>
          </cell>
        </row>
        <row r="604">
          <cell r="A604" t="str">
            <v>San Juan</v>
          </cell>
          <cell r="B604" t="str">
            <v xml:space="preserve">M  </v>
          </cell>
          <cell r="C604" t="str">
            <v>0. TOTAL</v>
          </cell>
          <cell r="D604">
            <v>12992</v>
          </cell>
          <cell r="E604">
            <v>690592295.88</v>
          </cell>
        </row>
        <row r="605">
          <cell r="A605" t="str">
            <v>San Juan</v>
          </cell>
          <cell r="B605" t="str">
            <v xml:space="preserve">M  </v>
          </cell>
          <cell r="C605" t="str">
            <v>1.Hasta 24</v>
          </cell>
          <cell r="D605">
            <v>140</v>
          </cell>
          <cell r="E605">
            <v>5348959.9400000004</v>
          </cell>
        </row>
        <row r="606">
          <cell r="A606" t="str">
            <v>San Juan</v>
          </cell>
          <cell r="B606" t="str">
            <v xml:space="preserve">M  </v>
          </cell>
          <cell r="C606" t="str">
            <v>3.25 a 29</v>
          </cell>
          <cell r="D606">
            <v>664</v>
          </cell>
          <cell r="E606">
            <v>27367110.41</v>
          </cell>
        </row>
        <row r="607">
          <cell r="A607" t="str">
            <v>San Juan</v>
          </cell>
          <cell r="B607" t="str">
            <v xml:space="preserve">M  </v>
          </cell>
          <cell r="C607" t="str">
            <v>4.30 a 34</v>
          </cell>
          <cell r="D607">
            <v>1086</v>
          </cell>
          <cell r="E607">
            <v>48439999.43</v>
          </cell>
        </row>
        <row r="608">
          <cell r="A608" t="str">
            <v>San Juan</v>
          </cell>
          <cell r="B608" t="str">
            <v xml:space="preserve">M  </v>
          </cell>
          <cell r="C608" t="str">
            <v>5.35 a 39</v>
          </cell>
          <cell r="D608">
            <v>1513</v>
          </cell>
          <cell r="E608">
            <v>73851433.129999995</v>
          </cell>
        </row>
        <row r="609">
          <cell r="A609" t="str">
            <v>San Juan</v>
          </cell>
          <cell r="B609" t="str">
            <v xml:space="preserve">M  </v>
          </cell>
          <cell r="C609" t="str">
            <v>6.40 a 44</v>
          </cell>
          <cell r="D609">
            <v>1657</v>
          </cell>
          <cell r="E609">
            <v>84603853.019999996</v>
          </cell>
        </row>
        <row r="610">
          <cell r="A610" t="str">
            <v>San Juan</v>
          </cell>
          <cell r="B610" t="str">
            <v xml:space="preserve">M  </v>
          </cell>
          <cell r="C610" t="str">
            <v>7.45 a 49</v>
          </cell>
          <cell r="D610">
            <v>1626</v>
          </cell>
          <cell r="E610">
            <v>84996231.230000004</v>
          </cell>
        </row>
        <row r="611">
          <cell r="A611" t="str">
            <v>San Juan</v>
          </cell>
          <cell r="B611" t="str">
            <v xml:space="preserve">M  </v>
          </cell>
          <cell r="C611" t="str">
            <v>8.50 a 54</v>
          </cell>
          <cell r="D611">
            <v>1723</v>
          </cell>
          <cell r="E611">
            <v>97493712.719999999</v>
          </cell>
        </row>
        <row r="612">
          <cell r="A612" t="str">
            <v>San Juan</v>
          </cell>
          <cell r="B612" t="str">
            <v xml:space="preserve">M  </v>
          </cell>
          <cell r="C612" t="str">
            <v>9.55 a 59</v>
          </cell>
          <cell r="D612">
            <v>2013</v>
          </cell>
          <cell r="E612">
            <v>113974567.59</v>
          </cell>
        </row>
        <row r="613">
          <cell r="A613" t="str">
            <v>San Juan</v>
          </cell>
          <cell r="B613" t="str">
            <v xml:space="preserve">M  </v>
          </cell>
          <cell r="C613" t="str">
            <v>A.60 a 64</v>
          </cell>
          <cell r="D613">
            <v>1941</v>
          </cell>
          <cell r="E613">
            <v>116313531.26000001</v>
          </cell>
        </row>
        <row r="614">
          <cell r="A614" t="str">
            <v>San Juan</v>
          </cell>
          <cell r="B614" t="str">
            <v xml:space="preserve">M  </v>
          </cell>
          <cell r="C614" t="str">
            <v>B.65 y más</v>
          </cell>
          <cell r="D614">
            <v>624</v>
          </cell>
          <cell r="E614">
            <v>37997827.920000002</v>
          </cell>
        </row>
        <row r="615">
          <cell r="A615" t="str">
            <v>San Juan</v>
          </cell>
          <cell r="B615" t="str">
            <v xml:space="preserve">M  </v>
          </cell>
          <cell r="C615" t="str">
            <v>X.No Informada</v>
          </cell>
          <cell r="D615">
            <v>5</v>
          </cell>
          <cell r="E615">
            <v>205069.23</v>
          </cell>
        </row>
        <row r="616">
          <cell r="A616" t="str">
            <v>San Juan</v>
          </cell>
          <cell r="B616" t="str">
            <v>Tot</v>
          </cell>
          <cell r="C616" t="str">
            <v>0. TOTAL</v>
          </cell>
          <cell r="D616">
            <v>23580</v>
          </cell>
          <cell r="E616">
            <v>1251717895.21</v>
          </cell>
        </row>
        <row r="617">
          <cell r="A617" t="str">
            <v>San Juan</v>
          </cell>
          <cell r="B617" t="str">
            <v>Tot</v>
          </cell>
          <cell r="C617" t="str">
            <v>1.Hasta 24</v>
          </cell>
          <cell r="D617">
            <v>258</v>
          </cell>
          <cell r="E617">
            <v>11398262.779999999</v>
          </cell>
        </row>
        <row r="618">
          <cell r="A618" t="str">
            <v>San Juan</v>
          </cell>
          <cell r="B618" t="str">
            <v>Tot</v>
          </cell>
          <cell r="C618" t="str">
            <v>3.25 a 29</v>
          </cell>
          <cell r="D618">
            <v>1383</v>
          </cell>
          <cell r="E618">
            <v>63966379.840000004</v>
          </cell>
        </row>
        <row r="619">
          <cell r="A619" t="str">
            <v>San Juan</v>
          </cell>
          <cell r="B619" t="str">
            <v>Tot</v>
          </cell>
          <cell r="C619" t="str">
            <v>4.30 a 34</v>
          </cell>
          <cell r="D619">
            <v>2397</v>
          </cell>
          <cell r="E619">
            <v>113325031.36</v>
          </cell>
        </row>
        <row r="620">
          <cell r="A620" t="str">
            <v>San Juan</v>
          </cell>
          <cell r="B620" t="str">
            <v>Tot</v>
          </cell>
          <cell r="C620" t="str">
            <v>5.35 a 39</v>
          </cell>
          <cell r="D620">
            <v>3193</v>
          </cell>
          <cell r="E620">
            <v>161166317.41999999</v>
          </cell>
        </row>
        <row r="621">
          <cell r="A621" t="str">
            <v>San Juan</v>
          </cell>
          <cell r="B621" t="str">
            <v>Tot</v>
          </cell>
          <cell r="C621" t="str">
            <v>6.40 a 44</v>
          </cell>
          <cell r="D621">
            <v>3282</v>
          </cell>
          <cell r="E621">
            <v>168426391.56</v>
          </cell>
        </row>
        <row r="622">
          <cell r="A622" t="str">
            <v>San Juan</v>
          </cell>
          <cell r="B622" t="str">
            <v>Tot</v>
          </cell>
          <cell r="C622" t="str">
            <v>7.45 a 49</v>
          </cell>
          <cell r="D622">
            <v>3009</v>
          </cell>
          <cell r="E622">
            <v>158156561.87</v>
          </cell>
        </row>
        <row r="623">
          <cell r="A623" t="str">
            <v>San Juan</v>
          </cell>
          <cell r="B623" t="str">
            <v>Tot</v>
          </cell>
          <cell r="C623" t="str">
            <v>8.50 a 54</v>
          </cell>
          <cell r="D623">
            <v>3111</v>
          </cell>
          <cell r="E623">
            <v>172547693.65000001</v>
          </cell>
        </row>
        <row r="624">
          <cell r="A624" t="str">
            <v>San Juan</v>
          </cell>
          <cell r="B624" t="str">
            <v>Tot</v>
          </cell>
          <cell r="C624" t="str">
            <v>9.55 a 59</v>
          </cell>
          <cell r="D624">
            <v>3475</v>
          </cell>
          <cell r="E624">
            <v>194920562.47999999</v>
          </cell>
        </row>
        <row r="625">
          <cell r="A625" t="str">
            <v>San Juan</v>
          </cell>
          <cell r="B625" t="str">
            <v>Tot</v>
          </cell>
          <cell r="C625" t="str">
            <v>A.60 a 64</v>
          </cell>
          <cell r="D625">
            <v>2628</v>
          </cell>
          <cell r="E625">
            <v>158384054.46000001</v>
          </cell>
        </row>
        <row r="626">
          <cell r="A626" t="str">
            <v>San Juan</v>
          </cell>
          <cell r="B626" t="str">
            <v>Tot</v>
          </cell>
          <cell r="C626" t="str">
            <v>B.65 y más</v>
          </cell>
          <cell r="D626">
            <v>795</v>
          </cell>
          <cell r="E626">
            <v>47543767.159999996</v>
          </cell>
        </row>
        <row r="627">
          <cell r="A627" t="str">
            <v>San Juan</v>
          </cell>
          <cell r="B627" t="str">
            <v>Tot</v>
          </cell>
          <cell r="C627" t="str">
            <v>X.No Informada</v>
          </cell>
          <cell r="D627">
            <v>49</v>
          </cell>
          <cell r="E627">
            <v>1882872.63</v>
          </cell>
        </row>
        <row r="628">
          <cell r="A628" t="str">
            <v>San Juan</v>
          </cell>
          <cell r="B628" t="str">
            <v xml:space="preserve">x  </v>
          </cell>
          <cell r="C628" t="str">
            <v>0. TOTAL</v>
          </cell>
          <cell r="D628">
            <v>1</v>
          </cell>
          <cell r="E628">
            <v>27005.4</v>
          </cell>
        </row>
        <row r="629">
          <cell r="A629" t="str">
            <v>San Juan</v>
          </cell>
          <cell r="B629" t="str">
            <v xml:space="preserve">x  </v>
          </cell>
          <cell r="C629" t="str">
            <v>X.No Informada</v>
          </cell>
          <cell r="D629">
            <v>1</v>
          </cell>
          <cell r="E629">
            <v>27005.4</v>
          </cell>
        </row>
        <row r="630">
          <cell r="A630" t="str">
            <v>San Luis</v>
          </cell>
          <cell r="B630" t="str">
            <v xml:space="preserve">F  </v>
          </cell>
          <cell r="C630" t="str">
            <v>0. TOTAL</v>
          </cell>
          <cell r="D630">
            <v>14072</v>
          </cell>
          <cell r="E630">
            <v>618605493.84000003</v>
          </cell>
        </row>
        <row r="631">
          <cell r="A631" t="str">
            <v>San Luis</v>
          </cell>
          <cell r="B631" t="str">
            <v xml:space="preserve">F  </v>
          </cell>
          <cell r="C631" t="str">
            <v>1.Hasta 24</v>
          </cell>
          <cell r="D631">
            <v>141</v>
          </cell>
          <cell r="E631">
            <v>4329466.32</v>
          </cell>
        </row>
        <row r="632">
          <cell r="A632" t="str">
            <v>San Luis</v>
          </cell>
          <cell r="B632" t="str">
            <v xml:space="preserve">F  </v>
          </cell>
          <cell r="C632" t="str">
            <v>3.25 a 29</v>
          </cell>
          <cell r="D632">
            <v>859</v>
          </cell>
          <cell r="E632">
            <v>36679943.100000001</v>
          </cell>
        </row>
        <row r="633">
          <cell r="A633" t="str">
            <v>San Luis</v>
          </cell>
          <cell r="B633" t="str">
            <v xml:space="preserve">F  </v>
          </cell>
          <cell r="C633" t="str">
            <v>4.30 a 34</v>
          </cell>
          <cell r="D633">
            <v>1558</v>
          </cell>
          <cell r="E633">
            <v>76237515.950000003</v>
          </cell>
        </row>
        <row r="634">
          <cell r="A634" t="str">
            <v>San Luis</v>
          </cell>
          <cell r="B634" t="str">
            <v xml:space="preserve">F  </v>
          </cell>
          <cell r="C634" t="str">
            <v>5.35 a 39</v>
          </cell>
          <cell r="D634">
            <v>2618</v>
          </cell>
          <cell r="E634">
            <v>112494422.28</v>
          </cell>
        </row>
        <row r="635">
          <cell r="A635" t="str">
            <v>San Luis</v>
          </cell>
          <cell r="B635" t="str">
            <v xml:space="preserve">F  </v>
          </cell>
          <cell r="C635" t="str">
            <v>6.40 a 44</v>
          </cell>
          <cell r="D635">
            <v>2474</v>
          </cell>
          <cell r="E635">
            <v>110054772.94</v>
          </cell>
        </row>
        <row r="636">
          <cell r="A636" t="str">
            <v>San Luis</v>
          </cell>
          <cell r="B636" t="str">
            <v xml:space="preserve">F  </v>
          </cell>
          <cell r="C636" t="str">
            <v>7.45 a 49</v>
          </cell>
          <cell r="D636">
            <v>1853</v>
          </cell>
          <cell r="E636">
            <v>75734480.650000006</v>
          </cell>
        </row>
        <row r="637">
          <cell r="A637" t="str">
            <v>San Luis</v>
          </cell>
          <cell r="B637" t="str">
            <v xml:space="preserve">F  </v>
          </cell>
          <cell r="C637" t="str">
            <v>8.50 a 54</v>
          </cell>
          <cell r="D637">
            <v>1656</v>
          </cell>
          <cell r="E637">
            <v>71662577.269999996</v>
          </cell>
        </row>
        <row r="638">
          <cell r="A638" t="str">
            <v>San Luis</v>
          </cell>
          <cell r="B638" t="str">
            <v xml:space="preserve">F  </v>
          </cell>
          <cell r="C638" t="str">
            <v>9.55 a 59</v>
          </cell>
          <cell r="D638">
            <v>1543</v>
          </cell>
          <cell r="E638">
            <v>66711424.270000003</v>
          </cell>
        </row>
        <row r="639">
          <cell r="A639" t="str">
            <v>San Luis</v>
          </cell>
          <cell r="B639" t="str">
            <v xml:space="preserve">F  </v>
          </cell>
          <cell r="C639" t="str">
            <v>A.60 a 64</v>
          </cell>
          <cell r="D639">
            <v>875</v>
          </cell>
          <cell r="E639">
            <v>42297171.469999999</v>
          </cell>
        </row>
        <row r="640">
          <cell r="A640" t="str">
            <v>San Luis</v>
          </cell>
          <cell r="B640" t="str">
            <v xml:space="preserve">F  </v>
          </cell>
          <cell r="C640" t="str">
            <v>B.65 y más</v>
          </cell>
          <cell r="D640">
            <v>213</v>
          </cell>
          <cell r="E640">
            <v>13028230.57</v>
          </cell>
        </row>
        <row r="641">
          <cell r="A641" t="str">
            <v>San Luis</v>
          </cell>
          <cell r="B641" t="str">
            <v xml:space="preserve">F  </v>
          </cell>
          <cell r="C641" t="str">
            <v>X.No Informada</v>
          </cell>
          <cell r="D641">
            <v>282</v>
          </cell>
          <cell r="E641">
            <v>9375489.0199999996</v>
          </cell>
        </row>
        <row r="642">
          <cell r="A642" t="str">
            <v>San Luis</v>
          </cell>
          <cell r="B642" t="str">
            <v xml:space="preserve">M  </v>
          </cell>
          <cell r="C642" t="str">
            <v>0. TOTAL</v>
          </cell>
          <cell r="D642">
            <v>10830</v>
          </cell>
          <cell r="E642">
            <v>475808398.88999999</v>
          </cell>
        </row>
        <row r="643">
          <cell r="A643" t="str">
            <v>San Luis</v>
          </cell>
          <cell r="B643" t="str">
            <v xml:space="preserve">M  </v>
          </cell>
          <cell r="C643" t="str">
            <v>1.Hasta 24</v>
          </cell>
          <cell r="D643">
            <v>270</v>
          </cell>
          <cell r="E643">
            <v>8287965.7599999998</v>
          </cell>
        </row>
        <row r="644">
          <cell r="A644" t="str">
            <v>San Luis</v>
          </cell>
          <cell r="B644" t="str">
            <v xml:space="preserve">M  </v>
          </cell>
          <cell r="C644" t="str">
            <v>3.25 a 29</v>
          </cell>
          <cell r="D644">
            <v>666</v>
          </cell>
          <cell r="E644">
            <v>25179279.43</v>
          </cell>
        </row>
        <row r="645">
          <cell r="A645" t="str">
            <v>San Luis</v>
          </cell>
          <cell r="B645" t="str">
            <v xml:space="preserve">M  </v>
          </cell>
          <cell r="C645" t="str">
            <v>4.30 a 34</v>
          </cell>
          <cell r="D645">
            <v>984</v>
          </cell>
          <cell r="E645">
            <v>44835290.600000001</v>
          </cell>
        </row>
        <row r="646">
          <cell r="A646" t="str">
            <v>San Luis</v>
          </cell>
          <cell r="B646" t="str">
            <v xml:space="preserve">M  </v>
          </cell>
          <cell r="C646" t="str">
            <v>5.35 a 39</v>
          </cell>
          <cell r="D646">
            <v>1605</v>
          </cell>
          <cell r="E646">
            <v>72368762.709999993</v>
          </cell>
        </row>
        <row r="647">
          <cell r="A647" t="str">
            <v>San Luis</v>
          </cell>
          <cell r="B647" t="str">
            <v xml:space="preserve">M  </v>
          </cell>
          <cell r="C647" t="str">
            <v>6.40 a 44</v>
          </cell>
          <cell r="D647">
            <v>1690</v>
          </cell>
          <cell r="E647">
            <v>76746578.900000006</v>
          </cell>
        </row>
        <row r="648">
          <cell r="A648" t="str">
            <v>San Luis</v>
          </cell>
          <cell r="B648" t="str">
            <v xml:space="preserve">M  </v>
          </cell>
          <cell r="C648" t="str">
            <v>7.45 a 49</v>
          </cell>
          <cell r="D648">
            <v>1382</v>
          </cell>
          <cell r="E648">
            <v>61876711.869999997</v>
          </cell>
        </row>
        <row r="649">
          <cell r="A649" t="str">
            <v>San Luis</v>
          </cell>
          <cell r="B649" t="str">
            <v xml:space="preserve">M  </v>
          </cell>
          <cell r="C649" t="str">
            <v>8.50 a 54</v>
          </cell>
          <cell r="D649">
            <v>1224</v>
          </cell>
          <cell r="E649">
            <v>52629832.420000002</v>
          </cell>
        </row>
        <row r="650">
          <cell r="A650" t="str">
            <v>San Luis</v>
          </cell>
          <cell r="B650" t="str">
            <v xml:space="preserve">M  </v>
          </cell>
          <cell r="C650" t="str">
            <v>9.55 a 59</v>
          </cell>
          <cell r="D650">
            <v>1255</v>
          </cell>
          <cell r="E650">
            <v>53923230.549999997</v>
          </cell>
        </row>
        <row r="651">
          <cell r="A651" t="str">
            <v>San Luis</v>
          </cell>
          <cell r="B651" t="str">
            <v xml:space="preserve">M  </v>
          </cell>
          <cell r="C651" t="str">
            <v>A.60 a 64</v>
          </cell>
          <cell r="D651">
            <v>1193</v>
          </cell>
          <cell r="E651">
            <v>52470044.990000002</v>
          </cell>
        </row>
        <row r="652">
          <cell r="A652" t="str">
            <v>San Luis</v>
          </cell>
          <cell r="B652" t="str">
            <v xml:space="preserve">M  </v>
          </cell>
          <cell r="C652" t="str">
            <v>B.65 y más</v>
          </cell>
          <cell r="D652">
            <v>553</v>
          </cell>
          <cell r="E652">
            <v>27103407.789999999</v>
          </cell>
        </row>
        <row r="653">
          <cell r="A653" t="str">
            <v>San Luis</v>
          </cell>
          <cell r="B653" t="str">
            <v xml:space="preserve">M  </v>
          </cell>
          <cell r="C653" t="str">
            <v>X.No Informada</v>
          </cell>
          <cell r="D653">
            <v>8</v>
          </cell>
          <cell r="E653">
            <v>387293.87</v>
          </cell>
        </row>
        <row r="654">
          <cell r="A654" t="str">
            <v>San Luis</v>
          </cell>
          <cell r="B654" t="str">
            <v>Tot</v>
          </cell>
          <cell r="C654" t="str">
            <v>0. TOTAL</v>
          </cell>
          <cell r="D654">
            <v>24930</v>
          </cell>
          <cell r="E654">
            <v>1095261759.45</v>
          </cell>
        </row>
        <row r="655">
          <cell r="A655" t="str">
            <v>San Luis</v>
          </cell>
          <cell r="B655" t="str">
            <v>Tot</v>
          </cell>
          <cell r="C655" t="str">
            <v>1.Hasta 24</v>
          </cell>
          <cell r="D655">
            <v>411</v>
          </cell>
          <cell r="E655">
            <v>12617432.08</v>
          </cell>
        </row>
        <row r="656">
          <cell r="A656" t="str">
            <v>San Luis</v>
          </cell>
          <cell r="B656" t="str">
            <v>Tot</v>
          </cell>
          <cell r="C656" t="str">
            <v>3.25 a 29</v>
          </cell>
          <cell r="D656">
            <v>1525</v>
          </cell>
          <cell r="E656">
            <v>61859222.530000001</v>
          </cell>
        </row>
        <row r="657">
          <cell r="A657" t="str">
            <v>San Luis</v>
          </cell>
          <cell r="B657" t="str">
            <v>Tot</v>
          </cell>
          <cell r="C657" t="str">
            <v>4.30 a 34</v>
          </cell>
          <cell r="D657">
            <v>2542</v>
          </cell>
          <cell r="E657">
            <v>121072806.55</v>
          </cell>
        </row>
        <row r="658">
          <cell r="A658" t="str">
            <v>San Luis</v>
          </cell>
          <cell r="B658" t="str">
            <v>Tot</v>
          </cell>
          <cell r="C658" t="str">
            <v>5.35 a 39</v>
          </cell>
          <cell r="D658">
            <v>4223</v>
          </cell>
          <cell r="E658">
            <v>184863184.99000001</v>
          </cell>
        </row>
        <row r="659">
          <cell r="A659" t="str">
            <v>San Luis</v>
          </cell>
          <cell r="B659" t="str">
            <v>Tot</v>
          </cell>
          <cell r="C659" t="str">
            <v>6.40 a 44</v>
          </cell>
          <cell r="D659">
            <v>4166</v>
          </cell>
          <cell r="E659">
            <v>187027637.93000001</v>
          </cell>
        </row>
        <row r="660">
          <cell r="A660" t="str">
            <v>San Luis</v>
          </cell>
          <cell r="B660" t="str">
            <v>Tot</v>
          </cell>
          <cell r="C660" t="str">
            <v>7.45 a 49</v>
          </cell>
          <cell r="D660">
            <v>3235</v>
          </cell>
          <cell r="E660">
            <v>137611192.52000001</v>
          </cell>
        </row>
        <row r="661">
          <cell r="A661" t="str">
            <v>San Luis</v>
          </cell>
          <cell r="B661" t="str">
            <v>Tot</v>
          </cell>
          <cell r="C661" t="str">
            <v>8.50 a 54</v>
          </cell>
          <cell r="D661">
            <v>2881</v>
          </cell>
          <cell r="E661">
            <v>124392082.19</v>
          </cell>
        </row>
        <row r="662">
          <cell r="A662" t="str">
            <v>San Luis</v>
          </cell>
          <cell r="B662" t="str">
            <v>Tot</v>
          </cell>
          <cell r="C662" t="str">
            <v>9.55 a 59</v>
          </cell>
          <cell r="D662">
            <v>2799</v>
          </cell>
          <cell r="E662">
            <v>120660411.15000001</v>
          </cell>
        </row>
        <row r="663">
          <cell r="A663" t="str">
            <v>San Luis</v>
          </cell>
          <cell r="B663" t="str">
            <v>Tot</v>
          </cell>
          <cell r="C663" t="str">
            <v>A.60 a 64</v>
          </cell>
          <cell r="D663">
            <v>2068</v>
          </cell>
          <cell r="E663">
            <v>94767216.459999993</v>
          </cell>
        </row>
        <row r="664">
          <cell r="A664" t="str">
            <v>San Luis</v>
          </cell>
          <cell r="B664" t="str">
            <v>Tot</v>
          </cell>
          <cell r="C664" t="str">
            <v>B.65 y más</v>
          </cell>
          <cell r="D664">
            <v>766</v>
          </cell>
          <cell r="E664">
            <v>40131638.359999999</v>
          </cell>
        </row>
        <row r="665">
          <cell r="A665" t="str">
            <v>San Luis</v>
          </cell>
          <cell r="B665" t="str">
            <v>Tot</v>
          </cell>
          <cell r="C665" t="str">
            <v>X.No Informada</v>
          </cell>
          <cell r="D665">
            <v>314</v>
          </cell>
          <cell r="E665">
            <v>10258934.689999999</v>
          </cell>
        </row>
        <row r="666">
          <cell r="A666" t="str">
            <v>San Luis</v>
          </cell>
          <cell r="B666" t="str">
            <v xml:space="preserve">x  </v>
          </cell>
          <cell r="C666" t="str">
            <v>0. TOTAL</v>
          </cell>
          <cell r="D666">
            <v>28</v>
          </cell>
          <cell r="E666">
            <v>847866.72</v>
          </cell>
        </row>
        <row r="667">
          <cell r="A667" t="str">
            <v>San Luis</v>
          </cell>
          <cell r="B667" t="str">
            <v xml:space="preserve">x  </v>
          </cell>
          <cell r="C667" t="str">
            <v>6.40 a 44</v>
          </cell>
          <cell r="D667">
            <v>2</v>
          </cell>
          <cell r="E667">
            <v>226286.09</v>
          </cell>
        </row>
        <row r="668">
          <cell r="A668" t="str">
            <v>San Luis</v>
          </cell>
          <cell r="B668" t="str">
            <v xml:space="preserve">x  </v>
          </cell>
          <cell r="C668" t="str">
            <v>8.50 a 54</v>
          </cell>
          <cell r="D668">
            <v>1</v>
          </cell>
          <cell r="E668">
            <v>99672.5</v>
          </cell>
        </row>
        <row r="669">
          <cell r="A669" t="str">
            <v>San Luis</v>
          </cell>
          <cell r="B669" t="str">
            <v xml:space="preserve">x  </v>
          </cell>
          <cell r="C669" t="str">
            <v>9.55 a 59</v>
          </cell>
          <cell r="D669">
            <v>1</v>
          </cell>
          <cell r="E669">
            <v>25756.33</v>
          </cell>
        </row>
        <row r="670">
          <cell r="A670" t="str">
            <v>San Luis</v>
          </cell>
          <cell r="B670" t="str">
            <v xml:space="preserve">x  </v>
          </cell>
          <cell r="C670" t="str">
            <v>X.No Informada</v>
          </cell>
          <cell r="D670">
            <v>24</v>
          </cell>
          <cell r="E670">
            <v>496151.8</v>
          </cell>
        </row>
        <row r="671">
          <cell r="A671" t="str">
            <v>zzz</v>
          </cell>
          <cell r="B671" t="str">
            <v xml:space="preserve">x  </v>
          </cell>
          <cell r="C671" t="str">
            <v>8.50 a 54</v>
          </cell>
          <cell r="D671">
            <v>3</v>
          </cell>
          <cell r="E671">
            <v>216359.74</v>
          </cell>
        </row>
        <row r="672">
          <cell r="A672" t="str">
            <v>zzz</v>
          </cell>
          <cell r="B672" t="str">
            <v xml:space="preserve">x  </v>
          </cell>
          <cell r="C672" t="str">
            <v>9.55 a 59</v>
          </cell>
          <cell r="D672">
            <v>1</v>
          </cell>
          <cell r="E672">
            <v>25756.33</v>
          </cell>
        </row>
        <row r="673">
          <cell r="A673" t="str">
            <v>Santa Cruz</v>
          </cell>
          <cell r="B673" t="str">
            <v xml:space="preserve">F  </v>
          </cell>
          <cell r="C673" t="str">
            <v>0. TOTAL</v>
          </cell>
          <cell r="D673">
            <v>16</v>
          </cell>
          <cell r="E673">
            <v>959185.67</v>
          </cell>
        </row>
        <row r="674">
          <cell r="A674" t="str">
            <v>Santa Cruz</v>
          </cell>
          <cell r="B674" t="str">
            <v xml:space="preserve">F  </v>
          </cell>
          <cell r="C674" t="str">
            <v>1.Hasta 24</v>
          </cell>
          <cell r="D674">
            <v>1</v>
          </cell>
          <cell r="E674">
            <v>49718.18</v>
          </cell>
        </row>
        <row r="675">
          <cell r="A675" t="str">
            <v>Santa Cruz</v>
          </cell>
          <cell r="B675" t="str">
            <v xml:space="preserve">F  </v>
          </cell>
          <cell r="C675" t="str">
            <v>3.25 a 29</v>
          </cell>
          <cell r="D675">
            <v>1</v>
          </cell>
          <cell r="E675">
            <v>52714.26</v>
          </cell>
        </row>
        <row r="676">
          <cell r="A676" t="str">
            <v>Santa Cruz</v>
          </cell>
          <cell r="B676" t="str">
            <v xml:space="preserve">F  </v>
          </cell>
          <cell r="C676" t="str">
            <v>4.30 a 34</v>
          </cell>
          <cell r="D676">
            <v>4</v>
          </cell>
          <cell r="E676">
            <v>220969.48</v>
          </cell>
        </row>
        <row r="677">
          <cell r="A677" t="str">
            <v>Santa Cruz</v>
          </cell>
          <cell r="B677" t="str">
            <v xml:space="preserve">F  </v>
          </cell>
          <cell r="C677" t="str">
            <v>5.35 a 39</v>
          </cell>
          <cell r="D677">
            <v>1</v>
          </cell>
          <cell r="E677">
            <v>64547.76</v>
          </cell>
        </row>
        <row r="678">
          <cell r="A678" t="str">
            <v>Santa Cruz</v>
          </cell>
          <cell r="B678" t="str">
            <v xml:space="preserve">F  </v>
          </cell>
          <cell r="C678" t="str">
            <v>6.40 a 44</v>
          </cell>
          <cell r="D678">
            <v>2</v>
          </cell>
          <cell r="E678">
            <v>135436.56</v>
          </cell>
        </row>
        <row r="679">
          <cell r="A679" t="str">
            <v>Santa Cruz</v>
          </cell>
          <cell r="B679" t="str">
            <v xml:space="preserve">F  </v>
          </cell>
          <cell r="C679" t="str">
            <v>7.45 a 49</v>
          </cell>
          <cell r="D679">
            <v>1</v>
          </cell>
          <cell r="E679">
            <v>58614.32</v>
          </cell>
        </row>
        <row r="680">
          <cell r="A680" t="str">
            <v>Santa Cruz</v>
          </cell>
          <cell r="B680" t="str">
            <v xml:space="preserve">F  </v>
          </cell>
          <cell r="C680" t="str">
            <v>8.50 a 54</v>
          </cell>
          <cell r="D680">
            <v>3</v>
          </cell>
          <cell r="E680">
            <v>192819.85</v>
          </cell>
        </row>
        <row r="681">
          <cell r="A681" t="str">
            <v>Santa Cruz</v>
          </cell>
          <cell r="B681" t="str">
            <v xml:space="preserve">F  </v>
          </cell>
          <cell r="C681" t="str">
            <v>9.55 a 59</v>
          </cell>
          <cell r="D681">
            <v>3</v>
          </cell>
          <cell r="E681">
            <v>184365.26</v>
          </cell>
        </row>
        <row r="682">
          <cell r="A682" t="str">
            <v>Santa Cruz</v>
          </cell>
          <cell r="B682" t="str">
            <v xml:space="preserve">M  </v>
          </cell>
          <cell r="C682" t="str">
            <v>0. TOTAL</v>
          </cell>
          <cell r="D682">
            <v>1</v>
          </cell>
          <cell r="E682">
            <v>148051.4</v>
          </cell>
        </row>
        <row r="683">
          <cell r="A683" t="str">
            <v>Santa Cruz</v>
          </cell>
          <cell r="B683" t="str">
            <v xml:space="preserve">M  </v>
          </cell>
          <cell r="C683" t="str">
            <v>4.30 a 34</v>
          </cell>
          <cell r="D683">
            <v>1</v>
          </cell>
          <cell r="E683">
            <v>148051.4</v>
          </cell>
        </row>
        <row r="684">
          <cell r="A684" t="str">
            <v>Santa Cruz</v>
          </cell>
          <cell r="B684" t="str">
            <v>Tot</v>
          </cell>
          <cell r="C684" t="str">
            <v>0. TOTAL</v>
          </cell>
          <cell r="D684">
            <v>17</v>
          </cell>
          <cell r="E684">
            <v>1107237.07</v>
          </cell>
        </row>
        <row r="685">
          <cell r="A685" t="str">
            <v>Santa Cruz</v>
          </cell>
          <cell r="B685" t="str">
            <v>Tot</v>
          </cell>
          <cell r="C685" t="str">
            <v>1.Hasta 24</v>
          </cell>
          <cell r="D685">
            <v>1</v>
          </cell>
          <cell r="E685">
            <v>49718.18</v>
          </cell>
        </row>
        <row r="686">
          <cell r="A686" t="str">
            <v>Santa Cruz</v>
          </cell>
          <cell r="B686" t="str">
            <v>Tot</v>
          </cell>
          <cell r="C686" t="str">
            <v>3.25 a 29</v>
          </cell>
          <cell r="D686">
            <v>1</v>
          </cell>
          <cell r="E686">
            <v>52714.26</v>
          </cell>
        </row>
        <row r="687">
          <cell r="A687" t="str">
            <v>Santa Cruz</v>
          </cell>
          <cell r="B687" t="str">
            <v>Tot</v>
          </cell>
          <cell r="C687" t="str">
            <v>4.30 a 34</v>
          </cell>
          <cell r="D687">
            <v>5</v>
          </cell>
          <cell r="E687">
            <v>369020.88</v>
          </cell>
        </row>
        <row r="688">
          <cell r="A688" t="str">
            <v>Santa Cruz</v>
          </cell>
          <cell r="B688" t="str">
            <v>Tot</v>
          </cell>
          <cell r="C688" t="str">
            <v>5.35 a 39</v>
          </cell>
          <cell r="D688">
            <v>1</v>
          </cell>
          <cell r="E688">
            <v>64547.76</v>
          </cell>
        </row>
        <row r="689">
          <cell r="A689" t="str">
            <v>Santa Cruz</v>
          </cell>
          <cell r="B689" t="str">
            <v>Tot</v>
          </cell>
          <cell r="C689" t="str">
            <v>6.40 a 44</v>
          </cell>
          <cell r="D689">
            <v>2</v>
          </cell>
          <cell r="E689">
            <v>135436.56</v>
          </cell>
        </row>
        <row r="690">
          <cell r="A690" t="str">
            <v>Santa Cruz</v>
          </cell>
          <cell r="B690" t="str">
            <v>Tot</v>
          </cell>
          <cell r="C690" t="str">
            <v>7.45 a 49</v>
          </cell>
          <cell r="D690">
            <v>1</v>
          </cell>
          <cell r="E690">
            <v>58614.32</v>
          </cell>
        </row>
        <row r="691">
          <cell r="A691" t="str">
            <v>Santa Cruz</v>
          </cell>
          <cell r="B691" t="str">
            <v>Tot</v>
          </cell>
          <cell r="C691" t="str">
            <v>8.50 a 54</v>
          </cell>
          <cell r="D691">
            <v>3</v>
          </cell>
          <cell r="E691">
            <v>192819.85</v>
          </cell>
        </row>
        <row r="692">
          <cell r="A692" t="str">
            <v>Santa Cruz</v>
          </cell>
          <cell r="B692" t="str">
            <v>Tot</v>
          </cell>
          <cell r="C692" t="str">
            <v>9.55 a 59</v>
          </cell>
          <cell r="D692">
            <v>3</v>
          </cell>
          <cell r="E692">
            <v>184365.26</v>
          </cell>
        </row>
        <row r="693">
          <cell r="A693" t="str">
            <v>Santa Fe</v>
          </cell>
          <cell r="B693" t="str">
            <v xml:space="preserve">F  </v>
          </cell>
          <cell r="C693" t="str">
            <v>0. TOTAL</v>
          </cell>
          <cell r="D693">
            <v>321</v>
          </cell>
          <cell r="E693">
            <v>19469024.59</v>
          </cell>
        </row>
        <row r="694">
          <cell r="A694" t="str">
            <v>Santa Fe</v>
          </cell>
          <cell r="B694" t="str">
            <v xml:space="preserve">F  </v>
          </cell>
          <cell r="C694" t="str">
            <v>1.Hasta 24</v>
          </cell>
          <cell r="D694">
            <v>13</v>
          </cell>
          <cell r="E694">
            <v>426460.99</v>
          </cell>
        </row>
        <row r="695">
          <cell r="A695" t="str">
            <v>Santa Fe</v>
          </cell>
          <cell r="B695" t="str">
            <v xml:space="preserve">F  </v>
          </cell>
          <cell r="C695" t="str">
            <v>3.25 a 29</v>
          </cell>
          <cell r="D695">
            <v>49</v>
          </cell>
          <cell r="E695">
            <v>2121462.7400000002</v>
          </cell>
        </row>
        <row r="696">
          <cell r="A696" t="str">
            <v>Santa Fe</v>
          </cell>
          <cell r="B696" t="str">
            <v xml:space="preserve">F  </v>
          </cell>
          <cell r="C696" t="str">
            <v>4.30 a 34</v>
          </cell>
          <cell r="D696">
            <v>67</v>
          </cell>
          <cell r="E696">
            <v>3354429.27</v>
          </cell>
        </row>
        <row r="697">
          <cell r="A697" t="str">
            <v>Santa Fe</v>
          </cell>
          <cell r="B697" t="str">
            <v xml:space="preserve">F  </v>
          </cell>
          <cell r="C697" t="str">
            <v>5.35 a 39</v>
          </cell>
          <cell r="D697">
            <v>60</v>
          </cell>
          <cell r="E697">
            <v>3582201.94</v>
          </cell>
        </row>
        <row r="698">
          <cell r="A698" t="str">
            <v>Santa Fe</v>
          </cell>
          <cell r="B698" t="str">
            <v xml:space="preserve">F  </v>
          </cell>
          <cell r="C698" t="str">
            <v>6.40 a 44</v>
          </cell>
          <cell r="D698">
            <v>45</v>
          </cell>
          <cell r="E698">
            <v>2738334.53</v>
          </cell>
        </row>
        <row r="699">
          <cell r="A699" t="str">
            <v>Santa Fe</v>
          </cell>
          <cell r="B699" t="str">
            <v xml:space="preserve">F  </v>
          </cell>
          <cell r="C699" t="str">
            <v>7.45 a 49</v>
          </cell>
          <cell r="D699">
            <v>35</v>
          </cell>
          <cell r="E699">
            <v>2540133.6</v>
          </cell>
        </row>
        <row r="700">
          <cell r="A700" t="str">
            <v>Santa Fe</v>
          </cell>
          <cell r="B700" t="str">
            <v xml:space="preserve">F  </v>
          </cell>
          <cell r="C700" t="str">
            <v>8.50 a 54</v>
          </cell>
          <cell r="D700">
            <v>20</v>
          </cell>
          <cell r="E700">
            <v>1463588.35</v>
          </cell>
        </row>
        <row r="701">
          <cell r="A701" t="str">
            <v>Santa Fe</v>
          </cell>
          <cell r="B701" t="str">
            <v xml:space="preserve">F  </v>
          </cell>
          <cell r="C701" t="str">
            <v>9.55 a 59</v>
          </cell>
          <cell r="D701">
            <v>17</v>
          </cell>
          <cell r="E701">
            <v>1595450.06</v>
          </cell>
        </row>
        <row r="702">
          <cell r="A702" t="str">
            <v>Santa Fe</v>
          </cell>
          <cell r="B702" t="str">
            <v xml:space="preserve">F  </v>
          </cell>
          <cell r="C702" t="str">
            <v>A.60 a 64</v>
          </cell>
          <cell r="D702">
            <v>13</v>
          </cell>
          <cell r="E702">
            <v>1053356.99</v>
          </cell>
        </row>
        <row r="703">
          <cell r="A703" t="str">
            <v>Santa Fe</v>
          </cell>
          <cell r="B703" t="str">
            <v xml:space="preserve">F  </v>
          </cell>
          <cell r="C703" t="str">
            <v>B.65 y más</v>
          </cell>
          <cell r="D703">
            <v>2</v>
          </cell>
          <cell r="E703">
            <v>593606.12</v>
          </cell>
        </row>
        <row r="704">
          <cell r="A704" t="str">
            <v>Santa Fe</v>
          </cell>
          <cell r="B704" t="str">
            <v xml:space="preserve">M  </v>
          </cell>
          <cell r="C704" t="str">
            <v>0. TOTAL</v>
          </cell>
          <cell r="D704">
            <v>656</v>
          </cell>
          <cell r="E704">
            <v>41215320.280000001</v>
          </cell>
        </row>
        <row r="705">
          <cell r="A705" t="str">
            <v>Santa Fe</v>
          </cell>
          <cell r="B705" t="str">
            <v xml:space="preserve">M  </v>
          </cell>
          <cell r="C705" t="str">
            <v>1.Hasta 24</v>
          </cell>
          <cell r="D705">
            <v>23</v>
          </cell>
          <cell r="E705">
            <v>841891.79</v>
          </cell>
        </row>
        <row r="706">
          <cell r="A706" t="str">
            <v>Santa Fe</v>
          </cell>
          <cell r="B706" t="str">
            <v xml:space="preserve">M  </v>
          </cell>
          <cell r="C706" t="str">
            <v>3.25 a 29</v>
          </cell>
          <cell r="D706">
            <v>119</v>
          </cell>
          <cell r="E706">
            <v>5345071.6900000004</v>
          </cell>
        </row>
        <row r="707">
          <cell r="A707" t="str">
            <v>Santa Fe</v>
          </cell>
          <cell r="B707" t="str">
            <v xml:space="preserve">M  </v>
          </cell>
          <cell r="C707" t="str">
            <v>4.30 a 34</v>
          </cell>
          <cell r="D707">
            <v>102</v>
          </cell>
          <cell r="E707">
            <v>5667460.5300000003</v>
          </cell>
        </row>
        <row r="708">
          <cell r="A708" t="str">
            <v>Santa Fe</v>
          </cell>
          <cell r="B708" t="str">
            <v xml:space="preserve">M  </v>
          </cell>
          <cell r="C708" t="str">
            <v>5.35 a 39</v>
          </cell>
          <cell r="D708">
            <v>101</v>
          </cell>
          <cell r="E708">
            <v>6230926.3300000001</v>
          </cell>
        </row>
        <row r="709">
          <cell r="A709" t="str">
            <v>Santa Fe</v>
          </cell>
          <cell r="B709" t="str">
            <v xml:space="preserve">M  </v>
          </cell>
          <cell r="C709" t="str">
            <v>6.40 a 44</v>
          </cell>
          <cell r="D709">
            <v>95</v>
          </cell>
          <cell r="E709">
            <v>5986421.7599999998</v>
          </cell>
        </row>
        <row r="710">
          <cell r="A710" t="str">
            <v>Santa Fe</v>
          </cell>
          <cell r="B710" t="str">
            <v xml:space="preserve">M  </v>
          </cell>
          <cell r="C710" t="str">
            <v>7.45 a 49</v>
          </cell>
          <cell r="D710">
            <v>75</v>
          </cell>
          <cell r="E710">
            <v>5160422.8899999997</v>
          </cell>
        </row>
        <row r="711">
          <cell r="A711" t="str">
            <v>Santa Fe</v>
          </cell>
          <cell r="B711" t="str">
            <v xml:space="preserve">M  </v>
          </cell>
          <cell r="C711" t="str">
            <v>8.50 a 54</v>
          </cell>
          <cell r="D711">
            <v>45</v>
          </cell>
          <cell r="E711">
            <v>3119478.88</v>
          </cell>
        </row>
        <row r="712">
          <cell r="A712" t="str">
            <v>Santa Fe</v>
          </cell>
          <cell r="B712" t="str">
            <v xml:space="preserve">M  </v>
          </cell>
          <cell r="C712" t="str">
            <v>9.55 a 59</v>
          </cell>
          <cell r="D712">
            <v>50</v>
          </cell>
          <cell r="E712">
            <v>3626697.31</v>
          </cell>
        </row>
        <row r="713">
          <cell r="A713" t="str">
            <v>Santa Fe</v>
          </cell>
          <cell r="B713" t="str">
            <v xml:space="preserve">M  </v>
          </cell>
          <cell r="C713" t="str">
            <v>A.60 a 64</v>
          </cell>
          <cell r="D713">
            <v>33</v>
          </cell>
          <cell r="E713">
            <v>3425793.79</v>
          </cell>
        </row>
        <row r="714">
          <cell r="A714" t="str">
            <v>Santa Fe</v>
          </cell>
          <cell r="B714" t="str">
            <v xml:space="preserve">M  </v>
          </cell>
          <cell r="C714" t="str">
            <v>B.65 y más</v>
          </cell>
          <cell r="D714">
            <v>13</v>
          </cell>
          <cell r="E714">
            <v>1811155.31</v>
          </cell>
        </row>
        <row r="715">
          <cell r="A715" t="str">
            <v>Santa Fe</v>
          </cell>
          <cell r="B715" t="str">
            <v>Tot</v>
          </cell>
          <cell r="C715" t="str">
            <v>0. TOTAL</v>
          </cell>
          <cell r="D715">
            <v>977</v>
          </cell>
          <cell r="E715">
            <v>60684344.869999997</v>
          </cell>
        </row>
        <row r="716">
          <cell r="A716" t="str">
            <v>Santa Fe</v>
          </cell>
          <cell r="B716" t="str">
            <v>Tot</v>
          </cell>
          <cell r="C716" t="str">
            <v>1.Hasta 24</v>
          </cell>
          <cell r="D716">
            <v>36</v>
          </cell>
          <cell r="E716">
            <v>1268352.78</v>
          </cell>
        </row>
        <row r="717">
          <cell r="A717" t="str">
            <v>Santa Fe</v>
          </cell>
          <cell r="B717" t="str">
            <v>Tot</v>
          </cell>
          <cell r="C717" t="str">
            <v>3.25 a 29</v>
          </cell>
          <cell r="D717">
            <v>168</v>
          </cell>
          <cell r="E717">
            <v>7466534.4299999997</v>
          </cell>
        </row>
        <row r="718">
          <cell r="A718" t="str">
            <v>Santa Fe</v>
          </cell>
          <cell r="B718" t="str">
            <v>Tot</v>
          </cell>
          <cell r="C718" t="str">
            <v>4.30 a 34</v>
          </cell>
          <cell r="D718">
            <v>169</v>
          </cell>
          <cell r="E718">
            <v>9021889.8000000007</v>
          </cell>
        </row>
        <row r="719">
          <cell r="A719" t="str">
            <v>Santa Fe</v>
          </cell>
          <cell r="B719" t="str">
            <v>Tot</v>
          </cell>
          <cell r="C719" t="str">
            <v>5.35 a 39</v>
          </cell>
          <cell r="D719">
            <v>161</v>
          </cell>
          <cell r="E719">
            <v>9813128.2699999996</v>
          </cell>
        </row>
        <row r="720">
          <cell r="A720" t="str">
            <v>Santa Fe</v>
          </cell>
          <cell r="B720" t="str">
            <v>Tot</v>
          </cell>
          <cell r="C720" t="str">
            <v>6.40 a 44</v>
          </cell>
          <cell r="D720">
            <v>140</v>
          </cell>
          <cell r="E720">
            <v>8724756.2899999991</v>
          </cell>
        </row>
        <row r="721">
          <cell r="A721" t="str">
            <v>Santa Fe</v>
          </cell>
          <cell r="B721" t="str">
            <v>Tot</v>
          </cell>
          <cell r="C721" t="str">
            <v>7.45 a 49</v>
          </cell>
          <cell r="D721">
            <v>110</v>
          </cell>
          <cell r="E721">
            <v>7700556.4900000002</v>
          </cell>
        </row>
        <row r="722">
          <cell r="A722" t="str">
            <v>Santa Fe</v>
          </cell>
          <cell r="B722" t="str">
            <v>Tot</v>
          </cell>
          <cell r="C722" t="str">
            <v>8.50 a 54</v>
          </cell>
          <cell r="D722">
            <v>65</v>
          </cell>
          <cell r="E722">
            <v>4583067.2300000004</v>
          </cell>
        </row>
        <row r="723">
          <cell r="A723" t="str">
            <v>Santa Fe</v>
          </cell>
          <cell r="B723" t="str">
            <v>Tot</v>
          </cell>
          <cell r="C723" t="str">
            <v>9.55 a 59</v>
          </cell>
          <cell r="D723">
            <v>67</v>
          </cell>
          <cell r="E723">
            <v>5222147.37</v>
          </cell>
        </row>
        <row r="724">
          <cell r="A724" t="str">
            <v>Santa Fe</v>
          </cell>
          <cell r="B724" t="str">
            <v>Tot</v>
          </cell>
          <cell r="C724" t="str">
            <v>A.60 a 64</v>
          </cell>
          <cell r="D724">
            <v>46</v>
          </cell>
          <cell r="E724">
            <v>4479150.78</v>
          </cell>
        </row>
        <row r="725">
          <cell r="A725" t="str">
            <v>Santa Fe</v>
          </cell>
          <cell r="B725" t="str">
            <v>Tot</v>
          </cell>
          <cell r="C725" t="str">
            <v>B.65 y más</v>
          </cell>
          <cell r="D725">
            <v>15</v>
          </cell>
          <cell r="E725">
            <v>2404761.4300000002</v>
          </cell>
        </row>
        <row r="726">
          <cell r="A726" t="str">
            <v>Santiago del Estero</v>
          </cell>
          <cell r="B726" t="str">
            <v xml:space="preserve">F  </v>
          </cell>
          <cell r="C726" t="str">
            <v>0. TOTAL</v>
          </cell>
          <cell r="D726">
            <v>16418</v>
          </cell>
          <cell r="E726">
            <v>264616205.53999999</v>
          </cell>
        </row>
        <row r="727">
          <cell r="A727" t="str">
            <v>Santiago del Estero</v>
          </cell>
          <cell r="B727" t="str">
            <v xml:space="preserve">F  </v>
          </cell>
          <cell r="C727" t="str">
            <v>1.Hasta 24</v>
          </cell>
          <cell r="D727">
            <v>148</v>
          </cell>
          <cell r="E727">
            <v>1477034.25</v>
          </cell>
        </row>
        <row r="728">
          <cell r="A728" t="str">
            <v>Santiago del Estero</v>
          </cell>
          <cell r="B728" t="str">
            <v xml:space="preserve">F  </v>
          </cell>
          <cell r="C728" t="str">
            <v>3.25 a 29</v>
          </cell>
          <cell r="D728">
            <v>1035</v>
          </cell>
          <cell r="E728">
            <v>12772155.52</v>
          </cell>
        </row>
        <row r="729">
          <cell r="A729" t="str">
            <v>Santiago del Estero</v>
          </cell>
          <cell r="B729" t="str">
            <v xml:space="preserve">F  </v>
          </cell>
          <cell r="C729" t="str">
            <v>4.30 a 34</v>
          </cell>
          <cell r="D729">
            <v>2004</v>
          </cell>
          <cell r="E729">
            <v>27049762.27</v>
          </cell>
        </row>
        <row r="730">
          <cell r="A730" t="str">
            <v>Santiago del Estero</v>
          </cell>
          <cell r="B730" t="str">
            <v xml:space="preserve">F  </v>
          </cell>
          <cell r="C730" t="str">
            <v>5.35 a 39</v>
          </cell>
          <cell r="D730">
            <v>2800</v>
          </cell>
          <cell r="E730">
            <v>40405946.530000001</v>
          </cell>
        </row>
        <row r="731">
          <cell r="A731" t="str">
            <v>Santiago del Estero</v>
          </cell>
          <cell r="B731" t="str">
            <v xml:space="preserve">F  </v>
          </cell>
          <cell r="C731" t="str">
            <v>6.40 a 44</v>
          </cell>
          <cell r="D731">
            <v>2880</v>
          </cell>
          <cell r="E731">
            <v>44055176.93</v>
          </cell>
        </row>
        <row r="732">
          <cell r="A732" t="str">
            <v>Santiago del Estero</v>
          </cell>
          <cell r="B732" t="str">
            <v xml:space="preserve">F  </v>
          </cell>
          <cell r="C732" t="str">
            <v>7.45 a 49</v>
          </cell>
          <cell r="D732">
            <v>2234</v>
          </cell>
          <cell r="E732">
            <v>36552522.490000002</v>
          </cell>
        </row>
        <row r="733">
          <cell r="A733" t="str">
            <v>Santiago del Estero</v>
          </cell>
          <cell r="B733" t="str">
            <v xml:space="preserve">F  </v>
          </cell>
          <cell r="C733" t="str">
            <v>8.50 a 54</v>
          </cell>
          <cell r="D733">
            <v>2005</v>
          </cell>
          <cell r="E733">
            <v>35568057.170000002</v>
          </cell>
        </row>
        <row r="734">
          <cell r="A734" t="str">
            <v>Santiago del Estero</v>
          </cell>
          <cell r="B734" t="str">
            <v xml:space="preserve">F  </v>
          </cell>
          <cell r="C734" t="str">
            <v>9.55 a 59</v>
          </cell>
          <cell r="D734">
            <v>1904</v>
          </cell>
          <cell r="E734">
            <v>36106385.82</v>
          </cell>
        </row>
        <row r="735">
          <cell r="A735" t="str">
            <v>Santiago del Estero</v>
          </cell>
          <cell r="B735" t="str">
            <v xml:space="preserve">F  </v>
          </cell>
          <cell r="C735" t="str">
            <v>A.60 a 64</v>
          </cell>
          <cell r="D735">
            <v>1040</v>
          </cell>
          <cell r="E735">
            <v>22912552.52</v>
          </cell>
        </row>
        <row r="736">
          <cell r="A736" t="str">
            <v>Santiago del Estero</v>
          </cell>
          <cell r="B736" t="str">
            <v xml:space="preserve">F  </v>
          </cell>
          <cell r="C736" t="str">
            <v>B.65 y más</v>
          </cell>
          <cell r="D736">
            <v>273</v>
          </cell>
          <cell r="E736">
            <v>5969832.2699999996</v>
          </cell>
        </row>
        <row r="737">
          <cell r="A737" t="str">
            <v>Santiago del Estero</v>
          </cell>
          <cell r="B737" t="str">
            <v xml:space="preserve">F  </v>
          </cell>
          <cell r="C737" t="str">
            <v>X.No Informada</v>
          </cell>
          <cell r="D737">
            <v>95</v>
          </cell>
          <cell r="E737">
            <v>1746779.77</v>
          </cell>
        </row>
        <row r="738">
          <cell r="A738" t="str">
            <v>Santiago del Estero</v>
          </cell>
          <cell r="B738" t="str">
            <v xml:space="preserve">M  </v>
          </cell>
          <cell r="C738" t="str">
            <v>0. TOTAL</v>
          </cell>
          <cell r="D738">
            <v>20706</v>
          </cell>
          <cell r="E738">
            <v>337456044.47000003</v>
          </cell>
        </row>
        <row r="739">
          <cell r="A739" t="str">
            <v>Santiago del Estero</v>
          </cell>
          <cell r="B739" t="str">
            <v xml:space="preserve">M  </v>
          </cell>
          <cell r="C739" t="str">
            <v>1.Hasta 24</v>
          </cell>
          <cell r="D739">
            <v>267</v>
          </cell>
          <cell r="E739">
            <v>2293838.7999999998</v>
          </cell>
        </row>
        <row r="740">
          <cell r="A740" t="str">
            <v>Santiago del Estero</v>
          </cell>
          <cell r="B740" t="str">
            <v xml:space="preserve">M  </v>
          </cell>
          <cell r="C740" t="str">
            <v>3.25 a 29</v>
          </cell>
          <cell r="D740">
            <v>1131</v>
          </cell>
          <cell r="E740">
            <v>11730458.58</v>
          </cell>
        </row>
        <row r="741">
          <cell r="A741" t="str">
            <v>Santiago del Estero</v>
          </cell>
          <cell r="B741" t="str">
            <v xml:space="preserve">M  </v>
          </cell>
          <cell r="C741" t="str">
            <v>4.30 a 34</v>
          </cell>
          <cell r="D741">
            <v>1875</v>
          </cell>
          <cell r="E741">
            <v>21856860.710000001</v>
          </cell>
        </row>
        <row r="742">
          <cell r="A742" t="str">
            <v>Santiago del Estero</v>
          </cell>
          <cell r="B742" t="str">
            <v xml:space="preserve">M  </v>
          </cell>
          <cell r="C742" t="str">
            <v>5.35 a 39</v>
          </cell>
          <cell r="D742">
            <v>2641</v>
          </cell>
          <cell r="E742">
            <v>33905670.469999999</v>
          </cell>
        </row>
        <row r="743">
          <cell r="A743" t="str">
            <v>Santiago del Estero</v>
          </cell>
          <cell r="B743" t="str">
            <v xml:space="preserve">M  </v>
          </cell>
          <cell r="C743" t="str">
            <v>6.40 a 44</v>
          </cell>
          <cell r="D743">
            <v>3069</v>
          </cell>
          <cell r="E743">
            <v>44389789.829999998</v>
          </cell>
        </row>
        <row r="744">
          <cell r="A744" t="str">
            <v>Santiago del Estero</v>
          </cell>
          <cell r="B744" t="str">
            <v xml:space="preserve">M  </v>
          </cell>
          <cell r="C744" t="str">
            <v>7.45 a 49</v>
          </cell>
          <cell r="D744">
            <v>2755</v>
          </cell>
          <cell r="E744">
            <v>42941805.909999996</v>
          </cell>
        </row>
        <row r="745">
          <cell r="A745" t="str">
            <v>Santiago del Estero</v>
          </cell>
          <cell r="B745" t="str">
            <v xml:space="preserve">M  </v>
          </cell>
          <cell r="C745" t="str">
            <v>8.50 a 54</v>
          </cell>
          <cell r="D745">
            <v>2785</v>
          </cell>
          <cell r="E745">
            <v>48847919.719999999</v>
          </cell>
        </row>
        <row r="746">
          <cell r="A746" t="str">
            <v>Santiago del Estero</v>
          </cell>
          <cell r="B746" t="str">
            <v xml:space="preserve">M  </v>
          </cell>
          <cell r="C746" t="str">
            <v>9.55 a 59</v>
          </cell>
          <cell r="D746">
            <v>2687</v>
          </cell>
          <cell r="E746">
            <v>53045138.140000001</v>
          </cell>
        </row>
        <row r="747">
          <cell r="A747" t="str">
            <v>Santiago del Estero</v>
          </cell>
          <cell r="B747" t="str">
            <v xml:space="preserve">M  </v>
          </cell>
          <cell r="C747" t="str">
            <v>A.60 a 64</v>
          </cell>
          <cell r="D747">
            <v>2563</v>
          </cell>
          <cell r="E747">
            <v>57804074.299999997</v>
          </cell>
        </row>
        <row r="748">
          <cell r="A748" t="str">
            <v>Santiago del Estero</v>
          </cell>
          <cell r="B748" t="str">
            <v xml:space="preserve">M  </v>
          </cell>
          <cell r="C748" t="str">
            <v>B.65 y más</v>
          </cell>
          <cell r="D748">
            <v>911</v>
          </cell>
          <cell r="E748">
            <v>20287682.469999999</v>
          </cell>
        </row>
        <row r="749">
          <cell r="A749" t="str">
            <v>Santiago del Estero</v>
          </cell>
          <cell r="B749" t="str">
            <v xml:space="preserve">M  </v>
          </cell>
          <cell r="C749" t="str">
            <v>X.No Informada</v>
          </cell>
          <cell r="D749">
            <v>22</v>
          </cell>
          <cell r="E749">
            <v>352805.54</v>
          </cell>
        </row>
        <row r="750">
          <cell r="A750" t="str">
            <v>Santiago del Estero</v>
          </cell>
          <cell r="B750" t="str">
            <v>Tot</v>
          </cell>
          <cell r="C750" t="str">
            <v>0. TOTAL</v>
          </cell>
          <cell r="D750">
            <v>37134</v>
          </cell>
          <cell r="E750">
            <v>602182188.25</v>
          </cell>
        </row>
        <row r="751">
          <cell r="A751" t="str">
            <v>Santiago del Estero</v>
          </cell>
          <cell r="B751" t="str">
            <v>Tot</v>
          </cell>
          <cell r="C751" t="str">
            <v>1.Hasta 24</v>
          </cell>
          <cell r="D751">
            <v>415</v>
          </cell>
          <cell r="E751">
            <v>3770873.05</v>
          </cell>
        </row>
        <row r="752">
          <cell r="A752" t="str">
            <v>Santiago del Estero</v>
          </cell>
          <cell r="B752" t="str">
            <v>Tot</v>
          </cell>
          <cell r="C752" t="str">
            <v>3.25 a 29</v>
          </cell>
          <cell r="D752">
            <v>2166</v>
          </cell>
          <cell r="E752">
            <v>24502614.100000001</v>
          </cell>
        </row>
        <row r="753">
          <cell r="A753" t="str">
            <v>Santiago del Estero</v>
          </cell>
          <cell r="B753" t="str">
            <v>Tot</v>
          </cell>
          <cell r="C753" t="str">
            <v>4.30 a 34</v>
          </cell>
          <cell r="D753">
            <v>3879</v>
          </cell>
          <cell r="E753">
            <v>48906622.979999997</v>
          </cell>
        </row>
        <row r="754">
          <cell r="A754" t="str">
            <v>Santiago del Estero</v>
          </cell>
          <cell r="B754" t="str">
            <v>Tot</v>
          </cell>
          <cell r="C754" t="str">
            <v>5.35 a 39</v>
          </cell>
          <cell r="D754">
            <v>5441</v>
          </cell>
          <cell r="E754">
            <v>74311617</v>
          </cell>
        </row>
        <row r="755">
          <cell r="A755" t="str">
            <v>Santiago del Estero</v>
          </cell>
          <cell r="B755" t="str">
            <v>Tot</v>
          </cell>
          <cell r="C755" t="str">
            <v>6.40 a 44</v>
          </cell>
          <cell r="D755">
            <v>5950</v>
          </cell>
          <cell r="E755">
            <v>88466019.590000004</v>
          </cell>
        </row>
        <row r="756">
          <cell r="A756" t="str">
            <v>Santiago del Estero</v>
          </cell>
          <cell r="B756" t="str">
            <v>Tot</v>
          </cell>
          <cell r="C756" t="str">
            <v>7.45 a 49</v>
          </cell>
          <cell r="D756">
            <v>4990</v>
          </cell>
          <cell r="E756">
            <v>79503779.599999994</v>
          </cell>
        </row>
        <row r="757">
          <cell r="A757" t="str">
            <v>Santiago del Estero</v>
          </cell>
          <cell r="B757" t="str">
            <v>Tot</v>
          </cell>
          <cell r="C757" t="str">
            <v>8.50 a 54</v>
          </cell>
          <cell r="D757">
            <v>4790</v>
          </cell>
          <cell r="E757">
            <v>84415976.890000001</v>
          </cell>
        </row>
        <row r="758">
          <cell r="A758" t="str">
            <v>Santiago del Estero</v>
          </cell>
          <cell r="B758" t="str">
            <v>Tot</v>
          </cell>
          <cell r="C758" t="str">
            <v>9.55 a 59</v>
          </cell>
          <cell r="D758">
            <v>4591</v>
          </cell>
          <cell r="E758">
            <v>89151523.959999993</v>
          </cell>
        </row>
        <row r="759">
          <cell r="A759" t="str">
            <v>Santiago del Estero</v>
          </cell>
          <cell r="B759" t="str">
            <v>Tot</v>
          </cell>
          <cell r="C759" t="str">
            <v>A.60 a 64</v>
          </cell>
          <cell r="D759">
            <v>3603</v>
          </cell>
          <cell r="E759">
            <v>80716626.819999993</v>
          </cell>
        </row>
        <row r="760">
          <cell r="A760" t="str">
            <v>Santiago del Estero</v>
          </cell>
          <cell r="B760" t="str">
            <v>Tot</v>
          </cell>
          <cell r="C760" t="str">
            <v>B.65 y más</v>
          </cell>
          <cell r="D760">
            <v>1184</v>
          </cell>
          <cell r="E760">
            <v>26257514.739999998</v>
          </cell>
        </row>
        <row r="761">
          <cell r="A761" t="str">
            <v>Santiago del Estero</v>
          </cell>
          <cell r="B761" t="str">
            <v>Tot</v>
          </cell>
          <cell r="C761" t="str">
            <v>X.No Informada</v>
          </cell>
          <cell r="D761">
            <v>125</v>
          </cell>
          <cell r="E761">
            <v>2179019.52</v>
          </cell>
        </row>
        <row r="762">
          <cell r="A762" t="str">
            <v>Santiago del Estero</v>
          </cell>
          <cell r="B762" t="str">
            <v xml:space="preserve">x  </v>
          </cell>
          <cell r="C762" t="str">
            <v>0. TOTAL</v>
          </cell>
          <cell r="D762">
            <v>10</v>
          </cell>
          <cell r="E762">
            <v>109938.24000000001</v>
          </cell>
        </row>
        <row r="763">
          <cell r="A763" t="str">
            <v>Santiago del Estero</v>
          </cell>
          <cell r="B763" t="str">
            <v xml:space="preserve">x  </v>
          </cell>
          <cell r="C763" t="str">
            <v>6.40 a 44</v>
          </cell>
          <cell r="D763">
            <v>1</v>
          </cell>
          <cell r="E763">
            <v>21052.83</v>
          </cell>
        </row>
        <row r="764">
          <cell r="A764" t="str">
            <v>Santiago del Estero</v>
          </cell>
          <cell r="B764" t="str">
            <v xml:space="preserve">x  </v>
          </cell>
          <cell r="C764" t="str">
            <v>7.45 a 49</v>
          </cell>
          <cell r="D764">
            <v>1</v>
          </cell>
          <cell r="E764">
            <v>9451.2000000000007</v>
          </cell>
        </row>
        <row r="765">
          <cell r="A765" t="str">
            <v>Santiago del Estero</v>
          </cell>
          <cell r="B765" t="str">
            <v xml:space="preserve">x  </v>
          </cell>
          <cell r="C765" t="str">
            <v>X.No Informada</v>
          </cell>
          <cell r="D765">
            <v>8</v>
          </cell>
          <cell r="E765">
            <v>79434.210000000006</v>
          </cell>
        </row>
        <row r="766">
          <cell r="A766" t="str">
            <v>zzz</v>
          </cell>
          <cell r="B766" t="str">
            <v xml:space="preserve">x  </v>
          </cell>
          <cell r="C766" t="str">
            <v>7.45 a 49</v>
          </cell>
          <cell r="D766">
            <v>5</v>
          </cell>
          <cell r="E766">
            <v>375232.38</v>
          </cell>
        </row>
        <row r="767">
          <cell r="A767" t="str">
            <v>Tierra del Fuego</v>
          </cell>
          <cell r="B767" t="str">
            <v xml:space="preserve">F  </v>
          </cell>
          <cell r="C767" t="str">
            <v>0. TOTAL</v>
          </cell>
          <cell r="D767">
            <v>61</v>
          </cell>
          <cell r="E767">
            <v>3077352.32</v>
          </cell>
        </row>
        <row r="768">
          <cell r="A768" t="str">
            <v>Tierra del Fuego</v>
          </cell>
          <cell r="B768" t="str">
            <v xml:space="preserve">F  </v>
          </cell>
          <cell r="C768" t="str">
            <v>1.Hasta 24</v>
          </cell>
          <cell r="D768">
            <v>10</v>
          </cell>
          <cell r="E768">
            <v>363238.55</v>
          </cell>
        </row>
        <row r="769">
          <cell r="A769" t="str">
            <v>Tierra del Fuego</v>
          </cell>
          <cell r="B769" t="str">
            <v xml:space="preserve">F  </v>
          </cell>
          <cell r="C769" t="str">
            <v>3.25 a 29</v>
          </cell>
          <cell r="D769">
            <v>13</v>
          </cell>
          <cell r="E769">
            <v>594908.26</v>
          </cell>
        </row>
        <row r="770">
          <cell r="A770" t="str">
            <v>Tierra del Fuego</v>
          </cell>
          <cell r="B770" t="str">
            <v xml:space="preserve">F  </v>
          </cell>
          <cell r="C770" t="str">
            <v>4.30 a 34</v>
          </cell>
          <cell r="D770">
            <v>13</v>
          </cell>
          <cell r="E770">
            <v>637439.65</v>
          </cell>
        </row>
        <row r="771">
          <cell r="A771" t="str">
            <v>Tierra del Fuego</v>
          </cell>
          <cell r="B771" t="str">
            <v xml:space="preserve">F  </v>
          </cell>
          <cell r="C771" t="str">
            <v>5.35 a 39</v>
          </cell>
          <cell r="D771">
            <v>10</v>
          </cell>
          <cell r="E771">
            <v>502372.47</v>
          </cell>
        </row>
        <row r="772">
          <cell r="A772" t="str">
            <v>Tierra del Fuego</v>
          </cell>
          <cell r="B772" t="str">
            <v xml:space="preserve">F  </v>
          </cell>
          <cell r="C772" t="str">
            <v>6.40 a 44</v>
          </cell>
          <cell r="D772">
            <v>6</v>
          </cell>
          <cell r="E772">
            <v>303610.08</v>
          </cell>
        </row>
        <row r="773">
          <cell r="A773" t="str">
            <v>Tierra del Fuego</v>
          </cell>
          <cell r="B773" t="str">
            <v xml:space="preserve">F  </v>
          </cell>
          <cell r="C773" t="str">
            <v>7.45 a 49</v>
          </cell>
          <cell r="D773">
            <v>5</v>
          </cell>
          <cell r="E773">
            <v>498638.07</v>
          </cell>
        </row>
        <row r="774">
          <cell r="A774" t="str">
            <v>Tierra del Fuego</v>
          </cell>
          <cell r="B774" t="str">
            <v xml:space="preserve">F  </v>
          </cell>
          <cell r="C774" t="str">
            <v>8.50 a 54</v>
          </cell>
          <cell r="D774">
            <v>1</v>
          </cell>
          <cell r="E774">
            <v>31960.76</v>
          </cell>
        </row>
        <row r="775">
          <cell r="A775" t="str">
            <v>Tierra del Fuego</v>
          </cell>
          <cell r="B775" t="str">
            <v xml:space="preserve">F  </v>
          </cell>
          <cell r="C775" t="str">
            <v>9.55 a 59</v>
          </cell>
          <cell r="D775">
            <v>1</v>
          </cell>
          <cell r="E775">
            <v>43906.45</v>
          </cell>
        </row>
        <row r="776">
          <cell r="A776" t="str">
            <v>Tierra del Fuego</v>
          </cell>
          <cell r="B776" t="str">
            <v xml:space="preserve">F  </v>
          </cell>
          <cell r="C776" t="str">
            <v>A.60 a 64</v>
          </cell>
          <cell r="D776">
            <v>1</v>
          </cell>
          <cell r="E776">
            <v>38242.949999999997</v>
          </cell>
        </row>
        <row r="777">
          <cell r="A777" t="str">
            <v>Tierra del Fuego</v>
          </cell>
          <cell r="B777" t="str">
            <v xml:space="preserve">F  </v>
          </cell>
          <cell r="C777" t="str">
            <v>X.No Informada</v>
          </cell>
          <cell r="D777">
            <v>1</v>
          </cell>
          <cell r="E777">
            <v>63035.08</v>
          </cell>
        </row>
        <row r="778">
          <cell r="A778" t="str">
            <v>Tierra del Fuego</v>
          </cell>
          <cell r="B778" t="str">
            <v xml:space="preserve">M  </v>
          </cell>
          <cell r="C778" t="str">
            <v>0. TOTAL</v>
          </cell>
          <cell r="D778">
            <v>215</v>
          </cell>
          <cell r="E778">
            <v>8792571.8499999996</v>
          </cell>
        </row>
        <row r="779">
          <cell r="A779" t="str">
            <v>Tierra del Fuego</v>
          </cell>
          <cell r="B779" t="str">
            <v xml:space="preserve">M  </v>
          </cell>
          <cell r="C779" t="str">
            <v>1.Hasta 24</v>
          </cell>
          <cell r="D779">
            <v>16</v>
          </cell>
          <cell r="E779">
            <v>622544.06000000006</v>
          </cell>
        </row>
        <row r="780">
          <cell r="A780" t="str">
            <v>Tierra del Fuego</v>
          </cell>
          <cell r="B780" t="str">
            <v xml:space="preserve">M  </v>
          </cell>
          <cell r="C780" t="str">
            <v>3.25 a 29</v>
          </cell>
          <cell r="D780">
            <v>32</v>
          </cell>
          <cell r="E780">
            <v>1056127.76</v>
          </cell>
        </row>
        <row r="781">
          <cell r="A781" t="str">
            <v>Tierra del Fuego</v>
          </cell>
          <cell r="B781" t="str">
            <v xml:space="preserve">M  </v>
          </cell>
          <cell r="C781" t="str">
            <v>4.30 a 34</v>
          </cell>
          <cell r="D781">
            <v>41</v>
          </cell>
          <cell r="E781">
            <v>1524185.52</v>
          </cell>
        </row>
        <row r="782">
          <cell r="A782" t="str">
            <v>Tierra del Fuego</v>
          </cell>
          <cell r="B782" t="str">
            <v xml:space="preserve">M  </v>
          </cell>
          <cell r="C782" t="str">
            <v>5.35 a 39</v>
          </cell>
          <cell r="D782">
            <v>36</v>
          </cell>
          <cell r="E782">
            <v>1689415.46</v>
          </cell>
        </row>
        <row r="783">
          <cell r="A783" t="str">
            <v>Tierra del Fuego</v>
          </cell>
          <cell r="B783" t="str">
            <v xml:space="preserve">M  </v>
          </cell>
          <cell r="C783" t="str">
            <v>6.40 a 44</v>
          </cell>
          <cell r="D783">
            <v>31</v>
          </cell>
          <cell r="E783">
            <v>1416468.17</v>
          </cell>
        </row>
        <row r="784">
          <cell r="A784" t="str">
            <v>Tierra del Fuego</v>
          </cell>
          <cell r="B784" t="str">
            <v xml:space="preserve">M  </v>
          </cell>
          <cell r="C784" t="str">
            <v>7.45 a 49</v>
          </cell>
          <cell r="D784">
            <v>27</v>
          </cell>
          <cell r="E784">
            <v>1120941.4099999999</v>
          </cell>
        </row>
        <row r="785">
          <cell r="A785" t="str">
            <v>Tierra del Fuego</v>
          </cell>
          <cell r="B785" t="str">
            <v xml:space="preserve">M  </v>
          </cell>
          <cell r="C785" t="str">
            <v>8.50 a 54</v>
          </cell>
          <cell r="D785">
            <v>17</v>
          </cell>
          <cell r="E785">
            <v>783341.23</v>
          </cell>
        </row>
        <row r="786">
          <cell r="A786" t="str">
            <v>Tierra del Fuego</v>
          </cell>
          <cell r="B786" t="str">
            <v xml:space="preserve">M  </v>
          </cell>
          <cell r="C786" t="str">
            <v>9.55 a 59</v>
          </cell>
          <cell r="D786">
            <v>5</v>
          </cell>
          <cell r="E786">
            <v>178065.76</v>
          </cell>
        </row>
        <row r="787">
          <cell r="A787" t="str">
            <v>Tierra del Fuego</v>
          </cell>
          <cell r="B787" t="str">
            <v xml:space="preserve">M  </v>
          </cell>
          <cell r="C787" t="str">
            <v>A.60 a 64</v>
          </cell>
          <cell r="D787">
            <v>9</v>
          </cell>
          <cell r="E787">
            <v>361221.31</v>
          </cell>
        </row>
        <row r="788">
          <cell r="A788" t="str">
            <v>Tierra del Fuego</v>
          </cell>
          <cell r="B788" t="str">
            <v xml:space="preserve">M  </v>
          </cell>
          <cell r="C788" t="str">
            <v>B.65 y más</v>
          </cell>
          <cell r="D788">
            <v>1</v>
          </cell>
          <cell r="E788">
            <v>40261.17</v>
          </cell>
        </row>
        <row r="789">
          <cell r="A789" t="str">
            <v>Tierra del Fuego</v>
          </cell>
          <cell r="B789" t="str">
            <v>Tot</v>
          </cell>
          <cell r="C789" t="str">
            <v>0. TOTAL</v>
          </cell>
          <cell r="D789">
            <v>277</v>
          </cell>
          <cell r="E789">
            <v>11879322.17</v>
          </cell>
        </row>
        <row r="790">
          <cell r="A790" t="str">
            <v>Tierra del Fuego</v>
          </cell>
          <cell r="B790" t="str">
            <v>Tot</v>
          </cell>
          <cell r="C790" t="str">
            <v>1.Hasta 24</v>
          </cell>
          <cell r="D790">
            <v>26</v>
          </cell>
          <cell r="E790">
            <v>985782.61</v>
          </cell>
        </row>
        <row r="791">
          <cell r="A791" t="str">
            <v>Tierra del Fuego</v>
          </cell>
          <cell r="B791" t="str">
            <v>Tot</v>
          </cell>
          <cell r="C791" t="str">
            <v>3.25 a 29</v>
          </cell>
          <cell r="D791">
            <v>45</v>
          </cell>
          <cell r="E791">
            <v>1651036.02</v>
          </cell>
        </row>
        <row r="792">
          <cell r="A792" t="str">
            <v>Tierra del Fuego</v>
          </cell>
          <cell r="B792" t="str">
            <v>Tot</v>
          </cell>
          <cell r="C792" t="str">
            <v>4.30 a 34</v>
          </cell>
          <cell r="D792">
            <v>54</v>
          </cell>
          <cell r="E792">
            <v>2161625.17</v>
          </cell>
        </row>
        <row r="793">
          <cell r="A793" t="str">
            <v>Tierra del Fuego</v>
          </cell>
          <cell r="B793" t="str">
            <v>Tot</v>
          </cell>
          <cell r="C793" t="str">
            <v>5.35 a 39</v>
          </cell>
          <cell r="D793">
            <v>46</v>
          </cell>
          <cell r="E793">
            <v>2191787.9300000002</v>
          </cell>
        </row>
        <row r="794">
          <cell r="A794" t="str">
            <v>Tierra del Fuego</v>
          </cell>
          <cell r="B794" t="str">
            <v>Tot</v>
          </cell>
          <cell r="C794" t="str">
            <v>6.40 a 44</v>
          </cell>
          <cell r="D794">
            <v>37</v>
          </cell>
          <cell r="E794">
            <v>1720078.25</v>
          </cell>
        </row>
        <row r="795">
          <cell r="A795" t="str">
            <v>Tierra del Fuego</v>
          </cell>
          <cell r="B795" t="str">
            <v>Tot</v>
          </cell>
          <cell r="C795" t="str">
            <v>7.45 a 49</v>
          </cell>
          <cell r="D795">
            <v>32</v>
          </cell>
          <cell r="E795">
            <v>1619579.48</v>
          </cell>
        </row>
        <row r="796">
          <cell r="A796" t="str">
            <v>Tierra del Fuego</v>
          </cell>
          <cell r="B796" t="str">
            <v>Tot</v>
          </cell>
          <cell r="C796" t="str">
            <v>8.50 a 54</v>
          </cell>
          <cell r="D796">
            <v>18</v>
          </cell>
          <cell r="E796">
            <v>815301.99</v>
          </cell>
        </row>
        <row r="797">
          <cell r="A797" t="str">
            <v>Tierra del Fuego</v>
          </cell>
          <cell r="B797" t="str">
            <v>Tot</v>
          </cell>
          <cell r="C797" t="str">
            <v>9.55 a 59</v>
          </cell>
          <cell r="D797">
            <v>6</v>
          </cell>
          <cell r="E797">
            <v>221972.21</v>
          </cell>
        </row>
        <row r="798">
          <cell r="A798" t="str">
            <v>Tierra del Fuego</v>
          </cell>
          <cell r="B798" t="str">
            <v>Tot</v>
          </cell>
          <cell r="C798" t="str">
            <v>A.60 a 64</v>
          </cell>
          <cell r="D798">
            <v>10</v>
          </cell>
          <cell r="E798">
            <v>399464.26</v>
          </cell>
        </row>
        <row r="799">
          <cell r="A799" t="str">
            <v>Tierra del Fuego</v>
          </cell>
          <cell r="B799" t="str">
            <v>Tot</v>
          </cell>
          <cell r="C799" t="str">
            <v>B.65 y más</v>
          </cell>
          <cell r="D799">
            <v>1</v>
          </cell>
          <cell r="E799">
            <v>40261.17</v>
          </cell>
        </row>
        <row r="800">
          <cell r="A800" t="str">
            <v>Tierra del Fuego</v>
          </cell>
          <cell r="B800" t="str">
            <v>Tot</v>
          </cell>
          <cell r="C800" t="str">
            <v>X.No Informada</v>
          </cell>
          <cell r="D800">
            <v>2</v>
          </cell>
          <cell r="E800">
            <v>72433.08</v>
          </cell>
        </row>
        <row r="801">
          <cell r="A801" t="str">
            <v>Tierra del Fuego</v>
          </cell>
          <cell r="B801" t="str">
            <v xml:space="preserve">x  </v>
          </cell>
          <cell r="C801" t="str">
            <v>0. TOTAL</v>
          </cell>
          <cell r="D801">
            <v>1</v>
          </cell>
          <cell r="E801">
            <v>9398</v>
          </cell>
        </row>
        <row r="802">
          <cell r="A802" t="str">
            <v>Tierra del Fuego</v>
          </cell>
          <cell r="B802" t="str">
            <v xml:space="preserve">x  </v>
          </cell>
          <cell r="C802" t="str">
            <v>X.No Informada</v>
          </cell>
          <cell r="D802">
            <v>1</v>
          </cell>
          <cell r="E802">
            <v>9398</v>
          </cell>
        </row>
        <row r="803">
          <cell r="A803" t="str">
            <v>Tucumán</v>
          </cell>
          <cell r="B803" t="str">
            <v xml:space="preserve">F  </v>
          </cell>
          <cell r="C803" t="str">
            <v>0. TOTAL</v>
          </cell>
          <cell r="D803">
            <v>34242</v>
          </cell>
          <cell r="E803">
            <v>1214153013.54</v>
          </cell>
        </row>
        <row r="804">
          <cell r="A804" t="str">
            <v>Tucumán</v>
          </cell>
          <cell r="B804" t="str">
            <v xml:space="preserve">F  </v>
          </cell>
          <cell r="C804" t="str">
            <v>1.Hasta 24</v>
          </cell>
          <cell r="D804">
            <v>1106</v>
          </cell>
          <cell r="E804">
            <v>15891769.789999999</v>
          </cell>
        </row>
        <row r="805">
          <cell r="A805" t="str">
            <v>Tucumán</v>
          </cell>
          <cell r="B805" t="str">
            <v xml:space="preserve">F  </v>
          </cell>
          <cell r="C805" t="str">
            <v>3.25 a 29</v>
          </cell>
          <cell r="D805">
            <v>2776</v>
          </cell>
          <cell r="E805">
            <v>58554763.18</v>
          </cell>
        </row>
        <row r="806">
          <cell r="A806" t="str">
            <v>Tucumán</v>
          </cell>
          <cell r="B806" t="str">
            <v xml:space="preserve">F  </v>
          </cell>
          <cell r="C806" t="str">
            <v>4.30 a 34</v>
          </cell>
          <cell r="D806">
            <v>4156</v>
          </cell>
          <cell r="E806">
            <v>105033278.12</v>
          </cell>
        </row>
        <row r="807">
          <cell r="A807" t="str">
            <v>Tucumán</v>
          </cell>
          <cell r="B807" t="str">
            <v xml:space="preserve">F  </v>
          </cell>
          <cell r="C807" t="str">
            <v>5.35 a 39</v>
          </cell>
          <cell r="D807">
            <v>4985</v>
          </cell>
          <cell r="E807">
            <v>129865881.62</v>
          </cell>
        </row>
        <row r="808">
          <cell r="A808" t="str">
            <v>Tucumán</v>
          </cell>
          <cell r="B808" t="str">
            <v xml:space="preserve">F  </v>
          </cell>
          <cell r="C808" t="str">
            <v>6.40 a 44</v>
          </cell>
          <cell r="D808">
            <v>5371</v>
          </cell>
          <cell r="E808">
            <v>146957364.03</v>
          </cell>
        </row>
        <row r="809">
          <cell r="A809" t="str">
            <v>Tucumán</v>
          </cell>
          <cell r="B809" t="str">
            <v xml:space="preserve">F  </v>
          </cell>
          <cell r="C809" t="str">
            <v>7.45 a 49</v>
          </cell>
          <cell r="D809">
            <v>3937</v>
          </cell>
          <cell r="E809">
            <v>110731419.23999999</v>
          </cell>
        </row>
        <row r="810">
          <cell r="A810" t="str">
            <v>Tucumán</v>
          </cell>
          <cell r="B810" t="str">
            <v xml:space="preserve">F  </v>
          </cell>
          <cell r="C810" t="str">
            <v>8.50 a 54</v>
          </cell>
          <cell r="D810">
            <v>3805</v>
          </cell>
          <cell r="E810">
            <v>188242568.5</v>
          </cell>
        </row>
        <row r="811">
          <cell r="A811" t="str">
            <v>Tucumán</v>
          </cell>
          <cell r="B811" t="str">
            <v xml:space="preserve">F  </v>
          </cell>
          <cell r="C811" t="str">
            <v>9.55 a 59</v>
          </cell>
          <cell r="D811">
            <v>3806</v>
          </cell>
          <cell r="E811">
            <v>216323836.83000001</v>
          </cell>
        </row>
        <row r="812">
          <cell r="A812" t="str">
            <v>Tucumán</v>
          </cell>
          <cell r="B812" t="str">
            <v xml:space="preserve">F  </v>
          </cell>
          <cell r="C812" t="str">
            <v>A.60 a 64</v>
          </cell>
          <cell r="D812">
            <v>2775</v>
          </cell>
          <cell r="E812">
            <v>169902163.09999999</v>
          </cell>
        </row>
        <row r="813">
          <cell r="A813" t="str">
            <v>Tucumán</v>
          </cell>
          <cell r="B813" t="str">
            <v xml:space="preserve">F  </v>
          </cell>
          <cell r="C813" t="str">
            <v>B.65 y más</v>
          </cell>
          <cell r="D813">
            <v>1143</v>
          </cell>
          <cell r="E813">
            <v>62135474.700000003</v>
          </cell>
        </row>
        <row r="814">
          <cell r="A814" t="str">
            <v>Tucumán</v>
          </cell>
          <cell r="B814" t="str">
            <v xml:space="preserve">F  </v>
          </cell>
          <cell r="C814" t="str">
            <v>X.No Informada</v>
          </cell>
          <cell r="D814">
            <v>382</v>
          </cell>
          <cell r="E814">
            <v>10514494.43</v>
          </cell>
        </row>
        <row r="815">
          <cell r="A815" t="str">
            <v>Tucumán</v>
          </cell>
          <cell r="B815" t="str">
            <v xml:space="preserve">M  </v>
          </cell>
          <cell r="C815" t="str">
            <v>0. TOTAL</v>
          </cell>
          <cell r="D815">
            <v>46608</v>
          </cell>
          <cell r="E815">
            <v>1482181182.47</v>
          </cell>
        </row>
        <row r="816">
          <cell r="A816" t="str">
            <v>Tucumán</v>
          </cell>
          <cell r="B816" t="str">
            <v xml:space="preserve">M  </v>
          </cell>
          <cell r="C816" t="str">
            <v>1.Hasta 24</v>
          </cell>
          <cell r="D816">
            <v>1601</v>
          </cell>
          <cell r="E816">
            <v>22745771.050000001</v>
          </cell>
        </row>
        <row r="817">
          <cell r="A817" t="str">
            <v>Tucumán</v>
          </cell>
          <cell r="B817" t="str">
            <v xml:space="preserve">M  </v>
          </cell>
          <cell r="C817" t="str">
            <v>3.25 a 29</v>
          </cell>
          <cell r="D817">
            <v>3403</v>
          </cell>
          <cell r="E817">
            <v>60129361.759999998</v>
          </cell>
        </row>
        <row r="818">
          <cell r="A818" t="str">
            <v>Tucumán</v>
          </cell>
          <cell r="B818" t="str">
            <v xml:space="preserve">M  </v>
          </cell>
          <cell r="C818" t="str">
            <v>4.30 a 34</v>
          </cell>
          <cell r="D818">
            <v>4947</v>
          </cell>
          <cell r="E818">
            <v>103891234.54000001</v>
          </cell>
        </row>
        <row r="819">
          <cell r="A819" t="str">
            <v>Tucumán</v>
          </cell>
          <cell r="B819" t="str">
            <v xml:space="preserve">M  </v>
          </cell>
          <cell r="C819" t="str">
            <v>5.35 a 39</v>
          </cell>
          <cell r="D819">
            <v>5738</v>
          </cell>
          <cell r="E819">
            <v>133789789.40000001</v>
          </cell>
        </row>
        <row r="820">
          <cell r="A820" t="str">
            <v>Tucumán</v>
          </cell>
          <cell r="B820" t="str">
            <v xml:space="preserve">M  </v>
          </cell>
          <cell r="C820" t="str">
            <v>6.40 a 44</v>
          </cell>
          <cell r="D820">
            <v>6146</v>
          </cell>
          <cell r="E820">
            <v>151887497.61000001</v>
          </cell>
        </row>
        <row r="821">
          <cell r="A821" t="str">
            <v>Tucumán</v>
          </cell>
          <cell r="B821" t="str">
            <v xml:space="preserve">M  </v>
          </cell>
          <cell r="C821" t="str">
            <v>7.45 a 49</v>
          </cell>
          <cell r="D821">
            <v>5186</v>
          </cell>
          <cell r="E821">
            <v>126081907.5</v>
          </cell>
        </row>
        <row r="822">
          <cell r="A822" t="str">
            <v>Tucumán</v>
          </cell>
          <cell r="B822" t="str">
            <v xml:space="preserve">M  </v>
          </cell>
          <cell r="C822" t="str">
            <v>8.50 a 54</v>
          </cell>
          <cell r="D822">
            <v>5355</v>
          </cell>
          <cell r="E822">
            <v>141572236</v>
          </cell>
        </row>
        <row r="823">
          <cell r="A823" t="str">
            <v>Tucumán</v>
          </cell>
          <cell r="B823" t="str">
            <v xml:space="preserve">M  </v>
          </cell>
          <cell r="C823" t="str">
            <v>9.55 a 59</v>
          </cell>
          <cell r="D823">
            <v>5788</v>
          </cell>
          <cell r="E823">
            <v>279070759.04000002</v>
          </cell>
        </row>
        <row r="824">
          <cell r="A824" t="str">
            <v>Tucumán</v>
          </cell>
          <cell r="B824" t="str">
            <v xml:space="preserve">M  </v>
          </cell>
          <cell r="C824" t="str">
            <v>A.60 a 64</v>
          </cell>
          <cell r="D824">
            <v>5561</v>
          </cell>
          <cell r="E824">
            <v>312175356.31999999</v>
          </cell>
        </row>
        <row r="825">
          <cell r="A825" t="str">
            <v>Tucumán</v>
          </cell>
          <cell r="B825" t="str">
            <v xml:space="preserve">M  </v>
          </cell>
          <cell r="C825" t="str">
            <v>B.65 y más</v>
          </cell>
          <cell r="D825">
            <v>2874</v>
          </cell>
          <cell r="E825">
            <v>150703267.09999999</v>
          </cell>
        </row>
        <row r="826">
          <cell r="A826" t="str">
            <v>Tucumán</v>
          </cell>
          <cell r="B826" t="str">
            <v xml:space="preserve">M  </v>
          </cell>
          <cell r="C826" t="str">
            <v>X.No Informada</v>
          </cell>
          <cell r="D826">
            <v>9</v>
          </cell>
          <cell r="E826">
            <v>134002.15</v>
          </cell>
        </row>
        <row r="827">
          <cell r="A827" t="str">
            <v>Tucumán</v>
          </cell>
          <cell r="B827" t="str">
            <v>Tot</v>
          </cell>
          <cell r="C827" t="str">
            <v>0. TOTAL</v>
          </cell>
          <cell r="D827">
            <v>80875</v>
          </cell>
          <cell r="E827">
            <v>2696898060.23</v>
          </cell>
        </row>
        <row r="828">
          <cell r="A828" t="str">
            <v>Tucumán</v>
          </cell>
          <cell r="B828" t="str">
            <v>Tot</v>
          </cell>
          <cell r="C828" t="str">
            <v>1.Hasta 24</v>
          </cell>
          <cell r="D828">
            <v>2707</v>
          </cell>
          <cell r="E828">
            <v>38637540.840000004</v>
          </cell>
        </row>
        <row r="829">
          <cell r="A829" t="str">
            <v>Tucumán</v>
          </cell>
          <cell r="B829" t="str">
            <v>Tot</v>
          </cell>
          <cell r="C829" t="str">
            <v>3.25 a 29</v>
          </cell>
          <cell r="D829">
            <v>6179</v>
          </cell>
          <cell r="E829">
            <v>118684124.94</v>
          </cell>
        </row>
        <row r="830">
          <cell r="A830" t="str">
            <v>Tucumán</v>
          </cell>
          <cell r="B830" t="str">
            <v>Tot</v>
          </cell>
          <cell r="C830" t="str">
            <v>4.30 a 34</v>
          </cell>
          <cell r="D830">
            <v>9103</v>
          </cell>
          <cell r="E830">
            <v>208924512.66</v>
          </cell>
        </row>
        <row r="831">
          <cell r="A831" t="str">
            <v>Tucumán</v>
          </cell>
          <cell r="B831" t="str">
            <v>Tot</v>
          </cell>
          <cell r="C831" t="str">
            <v>5.35 a 39</v>
          </cell>
          <cell r="D831">
            <v>10724</v>
          </cell>
          <cell r="E831">
            <v>263668816.97999999</v>
          </cell>
        </row>
        <row r="832">
          <cell r="A832" t="str">
            <v>Tucumán</v>
          </cell>
          <cell r="B832" t="str">
            <v>Tot</v>
          </cell>
          <cell r="C832" t="str">
            <v>6.40 a 44</v>
          </cell>
          <cell r="D832">
            <v>11518</v>
          </cell>
          <cell r="E832">
            <v>298931001.11000001</v>
          </cell>
        </row>
        <row r="833">
          <cell r="A833" t="str">
            <v>Tucumán</v>
          </cell>
          <cell r="B833" t="str">
            <v>Tot</v>
          </cell>
          <cell r="C833" t="str">
            <v>7.45 a 49</v>
          </cell>
          <cell r="D833">
            <v>9123</v>
          </cell>
          <cell r="E833">
            <v>236813326.74000001</v>
          </cell>
        </row>
        <row r="834">
          <cell r="A834" t="str">
            <v>Tucumán</v>
          </cell>
          <cell r="B834" t="str">
            <v>Tot</v>
          </cell>
          <cell r="C834" t="str">
            <v>8.50 a 54</v>
          </cell>
          <cell r="D834">
            <v>9160</v>
          </cell>
          <cell r="E834">
            <v>329814804.5</v>
          </cell>
        </row>
        <row r="835">
          <cell r="A835" t="str">
            <v>Tucumán</v>
          </cell>
          <cell r="B835" t="str">
            <v>Tot</v>
          </cell>
          <cell r="C835" t="str">
            <v>9.55 a 59</v>
          </cell>
          <cell r="D835">
            <v>9594</v>
          </cell>
          <cell r="E835">
            <v>495394595.87</v>
          </cell>
        </row>
        <row r="836">
          <cell r="A836" t="str">
            <v>Tucumán</v>
          </cell>
          <cell r="B836" t="str">
            <v>Tot</v>
          </cell>
          <cell r="C836" t="str">
            <v>A.60 a 64</v>
          </cell>
          <cell r="D836">
            <v>8338</v>
          </cell>
          <cell r="E836">
            <v>482245610.61000001</v>
          </cell>
        </row>
        <row r="837">
          <cell r="A837" t="str">
            <v>Tucumán</v>
          </cell>
          <cell r="B837" t="str">
            <v>Tot</v>
          </cell>
          <cell r="C837" t="str">
            <v>B.65 y más</v>
          </cell>
          <cell r="D837">
            <v>4017</v>
          </cell>
          <cell r="E837">
            <v>212838741.80000001</v>
          </cell>
        </row>
        <row r="838">
          <cell r="A838" t="str">
            <v>Tucumán</v>
          </cell>
          <cell r="B838" t="str">
            <v>Tot</v>
          </cell>
          <cell r="C838" t="str">
            <v>X.No Informada</v>
          </cell>
          <cell r="D838">
            <v>412</v>
          </cell>
          <cell r="E838">
            <v>10944984.18</v>
          </cell>
        </row>
        <row r="839">
          <cell r="A839" t="str">
            <v>Tucumán</v>
          </cell>
          <cell r="B839" t="str">
            <v xml:space="preserve">x  </v>
          </cell>
          <cell r="C839" t="str">
            <v>0. TOTAL</v>
          </cell>
          <cell r="D839">
            <v>25</v>
          </cell>
          <cell r="E839">
            <v>563864.22</v>
          </cell>
        </row>
        <row r="840">
          <cell r="A840" t="str">
            <v>Tucumán</v>
          </cell>
          <cell r="B840" t="str">
            <v xml:space="preserve">x  </v>
          </cell>
          <cell r="C840" t="str">
            <v>5.35 a 39</v>
          </cell>
          <cell r="D840">
            <v>1</v>
          </cell>
          <cell r="E840">
            <v>13145.96</v>
          </cell>
        </row>
        <row r="841">
          <cell r="A841" t="str">
            <v>Tucumán</v>
          </cell>
          <cell r="B841" t="str">
            <v xml:space="preserve">x  </v>
          </cell>
          <cell r="C841" t="str">
            <v>6.40 a 44</v>
          </cell>
          <cell r="D841">
            <v>1</v>
          </cell>
          <cell r="E841">
            <v>86139.47</v>
          </cell>
        </row>
        <row r="842">
          <cell r="A842" t="str">
            <v>Tucumán</v>
          </cell>
          <cell r="B842" t="str">
            <v xml:space="preserve">x  </v>
          </cell>
          <cell r="C842" t="str">
            <v>A.60 a 64</v>
          </cell>
          <cell r="D842">
            <v>2</v>
          </cell>
          <cell r="E842">
            <v>168091.19</v>
          </cell>
        </row>
        <row r="843">
          <cell r="A843" t="str">
            <v>Tucumán</v>
          </cell>
          <cell r="B843" t="str">
            <v xml:space="preserve">x  </v>
          </cell>
          <cell r="C843" t="str">
            <v>X.No Informada</v>
          </cell>
          <cell r="D843">
            <v>21</v>
          </cell>
          <cell r="E843">
            <v>296487.59999999998</v>
          </cell>
        </row>
        <row r="844">
          <cell r="A844" t="str">
            <v>zzz</v>
          </cell>
          <cell r="B844" t="str">
            <v xml:space="preserve">F  </v>
          </cell>
          <cell r="C844" t="str">
            <v>0. TOTAL</v>
          </cell>
          <cell r="D844">
            <v>264274</v>
          </cell>
          <cell r="E844">
            <v>10922805525.42</v>
          </cell>
        </row>
        <row r="845">
          <cell r="A845" t="str">
            <v>zzz</v>
          </cell>
          <cell r="B845" t="str">
            <v xml:space="preserve">F  </v>
          </cell>
          <cell r="C845" t="str">
            <v>1.Hasta 24</v>
          </cell>
          <cell r="D845">
            <v>4330</v>
          </cell>
          <cell r="E845">
            <v>105308480.72</v>
          </cell>
        </row>
        <row r="846">
          <cell r="A846" t="str">
            <v>zzz</v>
          </cell>
          <cell r="B846" t="str">
            <v xml:space="preserve">F  </v>
          </cell>
          <cell r="C846" t="str">
            <v>3.25 a 29</v>
          </cell>
          <cell r="D846">
            <v>17332</v>
          </cell>
          <cell r="E846">
            <v>549340923.13</v>
          </cell>
        </row>
        <row r="847">
          <cell r="A847" t="str">
            <v>zzz</v>
          </cell>
          <cell r="B847" t="str">
            <v xml:space="preserve">F  </v>
          </cell>
          <cell r="C847" t="str">
            <v>4.30 a 34</v>
          </cell>
          <cell r="D847">
            <v>30914</v>
          </cell>
          <cell r="E847">
            <v>1111645099.3199999</v>
          </cell>
        </row>
        <row r="848">
          <cell r="A848" t="str">
            <v>zzz</v>
          </cell>
          <cell r="B848" t="str">
            <v xml:space="preserve">F  </v>
          </cell>
          <cell r="C848" t="str">
            <v>5.35 a 39</v>
          </cell>
          <cell r="D848">
            <v>40909</v>
          </cell>
          <cell r="E848">
            <v>1509927516.3599999</v>
          </cell>
        </row>
        <row r="849">
          <cell r="A849" t="str">
            <v>zzz</v>
          </cell>
          <cell r="B849" t="str">
            <v xml:space="preserve">F  </v>
          </cell>
          <cell r="C849" t="str">
            <v>6.40 a 44</v>
          </cell>
          <cell r="D849">
            <v>43685</v>
          </cell>
          <cell r="E849">
            <v>1677252707.4300001</v>
          </cell>
        </row>
        <row r="850">
          <cell r="A850" t="str">
            <v>zzz</v>
          </cell>
          <cell r="B850" t="str">
            <v xml:space="preserve">F  </v>
          </cell>
          <cell r="C850" t="str">
            <v>7.45 a 49</v>
          </cell>
          <cell r="D850">
            <v>35743</v>
          </cell>
          <cell r="E850">
            <v>1414367716.8499999</v>
          </cell>
        </row>
        <row r="851">
          <cell r="A851" t="str">
            <v>zzz</v>
          </cell>
          <cell r="B851" t="str">
            <v xml:space="preserve">F  </v>
          </cell>
          <cell r="C851" t="str">
            <v>8.50 a 54</v>
          </cell>
          <cell r="D851">
            <v>32980</v>
          </cell>
          <cell r="E851">
            <v>1542387474.75</v>
          </cell>
        </row>
        <row r="852">
          <cell r="A852" t="str">
            <v>zzz</v>
          </cell>
          <cell r="B852" t="str">
            <v xml:space="preserve">F  </v>
          </cell>
          <cell r="C852" t="str">
            <v>9.55 a 59</v>
          </cell>
          <cell r="D852">
            <v>31756</v>
          </cell>
          <cell r="E852">
            <v>1593294087.1900001</v>
          </cell>
        </row>
        <row r="853">
          <cell r="A853" t="str">
            <v>zzz</v>
          </cell>
          <cell r="B853" t="str">
            <v xml:space="preserve">F  </v>
          </cell>
          <cell r="C853" t="str">
            <v>A.60 a 64</v>
          </cell>
          <cell r="D853">
            <v>17859</v>
          </cell>
          <cell r="E853">
            <v>1006159707.65</v>
          </cell>
        </row>
        <row r="854">
          <cell r="A854" t="str">
            <v>zzz</v>
          </cell>
          <cell r="B854" t="str">
            <v xml:space="preserve">F  </v>
          </cell>
          <cell r="C854" t="str">
            <v>B.65 y más</v>
          </cell>
          <cell r="D854">
            <v>6551</v>
          </cell>
          <cell r="E854">
            <v>341755018.57999998</v>
          </cell>
        </row>
        <row r="855">
          <cell r="A855" t="str">
            <v>zzz</v>
          </cell>
          <cell r="B855" t="str">
            <v xml:space="preserve">F  </v>
          </cell>
          <cell r="C855" t="str">
            <v>X.No Informada</v>
          </cell>
          <cell r="D855">
            <v>2215</v>
          </cell>
          <cell r="E855">
            <v>71366793.439999998</v>
          </cell>
        </row>
        <row r="856">
          <cell r="A856" t="str">
            <v>zzz</v>
          </cell>
          <cell r="B856" t="str">
            <v xml:space="preserve">M  </v>
          </cell>
          <cell r="C856" t="str">
            <v>0. TOTAL</v>
          </cell>
          <cell r="D856">
            <v>275246</v>
          </cell>
          <cell r="E856">
            <v>10972516876.02</v>
          </cell>
        </row>
        <row r="857">
          <cell r="A857" t="str">
            <v>zzz</v>
          </cell>
          <cell r="B857" t="str">
            <v xml:space="preserve">M  </v>
          </cell>
          <cell r="C857" t="str">
            <v>1.Hasta 24</v>
          </cell>
          <cell r="D857">
            <v>6306</v>
          </cell>
          <cell r="E857">
            <v>144873551.43000001</v>
          </cell>
        </row>
        <row r="858">
          <cell r="A858" t="str">
            <v>zzz</v>
          </cell>
          <cell r="B858" t="str">
            <v xml:space="preserve">M  </v>
          </cell>
          <cell r="C858" t="str">
            <v>3.25 a 29</v>
          </cell>
          <cell r="D858">
            <v>18403</v>
          </cell>
          <cell r="E858">
            <v>513132238.11000001</v>
          </cell>
        </row>
        <row r="859">
          <cell r="A859" t="str">
            <v>zzz</v>
          </cell>
          <cell r="B859" t="str">
            <v xml:space="preserve">M  </v>
          </cell>
          <cell r="C859" t="str">
            <v>4.30 a 34</v>
          </cell>
          <cell r="D859">
            <v>29208</v>
          </cell>
          <cell r="E859">
            <v>967151906.55999994</v>
          </cell>
        </row>
        <row r="860">
          <cell r="A860" t="str">
            <v>zzz</v>
          </cell>
          <cell r="B860" t="str">
            <v xml:space="preserve">M  </v>
          </cell>
          <cell r="C860" t="str">
            <v>5.35 a 39</v>
          </cell>
          <cell r="D860">
            <v>36131</v>
          </cell>
          <cell r="E860">
            <v>1284405566.6199999</v>
          </cell>
        </row>
        <row r="861">
          <cell r="A861" t="str">
            <v>zzz</v>
          </cell>
          <cell r="B861" t="str">
            <v xml:space="preserve">M  </v>
          </cell>
          <cell r="C861" t="str">
            <v>6.40 a 44</v>
          </cell>
          <cell r="D861">
            <v>39158</v>
          </cell>
          <cell r="E861">
            <v>1460854580.98</v>
          </cell>
        </row>
        <row r="862">
          <cell r="A862" t="str">
            <v>zzz</v>
          </cell>
          <cell r="B862" t="str">
            <v xml:space="preserve">M  </v>
          </cell>
          <cell r="C862" t="str">
            <v>7.45 a 49</v>
          </cell>
          <cell r="D862">
            <v>34768</v>
          </cell>
          <cell r="E862">
            <v>1350653620.45</v>
          </cell>
        </row>
        <row r="863">
          <cell r="A863" t="str">
            <v>zzz</v>
          </cell>
          <cell r="B863" t="str">
            <v xml:space="preserve">M  </v>
          </cell>
          <cell r="C863" t="str">
            <v>8.50 a 54</v>
          </cell>
          <cell r="D863">
            <v>33961</v>
          </cell>
          <cell r="E863">
            <v>1381123964.01</v>
          </cell>
        </row>
        <row r="864">
          <cell r="A864" t="str">
            <v>zzz</v>
          </cell>
          <cell r="B864" t="str">
            <v xml:space="preserve">M  </v>
          </cell>
          <cell r="C864" t="str">
            <v>9.55 a 59</v>
          </cell>
          <cell r="D864">
            <v>34430</v>
          </cell>
          <cell r="E864">
            <v>1649190562.6199999</v>
          </cell>
        </row>
        <row r="865">
          <cell r="A865" t="str">
            <v>zzz</v>
          </cell>
          <cell r="B865" t="str">
            <v xml:space="preserve">M  </v>
          </cell>
          <cell r="C865" t="str">
            <v>A.60 a 64</v>
          </cell>
          <cell r="D865">
            <v>30490</v>
          </cell>
          <cell r="E865">
            <v>1587511065.4100001</v>
          </cell>
        </row>
        <row r="866">
          <cell r="A866" t="str">
            <v>zzz</v>
          </cell>
          <cell r="B866" t="str">
            <v xml:space="preserve">M  </v>
          </cell>
          <cell r="C866" t="str">
            <v>B.65 y más</v>
          </cell>
          <cell r="D866">
            <v>12248</v>
          </cell>
          <cell r="E866">
            <v>628627300.47000003</v>
          </cell>
        </row>
        <row r="867">
          <cell r="A867" t="str">
            <v>zzz</v>
          </cell>
          <cell r="B867" t="str">
            <v xml:space="preserve">M  </v>
          </cell>
          <cell r="C867" t="str">
            <v>X.No Informada</v>
          </cell>
          <cell r="D867">
            <v>143</v>
          </cell>
          <cell r="E867">
            <v>4992519.3600000003</v>
          </cell>
        </row>
        <row r="868">
          <cell r="A868" t="str">
            <v>zzz</v>
          </cell>
          <cell r="B868" t="str">
            <v>Tot</v>
          </cell>
          <cell r="C868" t="str">
            <v>0. TOTAL</v>
          </cell>
          <cell r="D868">
            <v>539725</v>
          </cell>
          <cell r="E868">
            <v>21901060754.470001</v>
          </cell>
        </row>
        <row r="869">
          <cell r="A869" t="str">
            <v>zzz</v>
          </cell>
          <cell r="B869" t="str">
            <v>Tot</v>
          </cell>
          <cell r="C869" t="str">
            <v>1.Hasta 24</v>
          </cell>
          <cell r="D869">
            <v>10636</v>
          </cell>
          <cell r="E869">
            <v>250182032.15000001</v>
          </cell>
        </row>
        <row r="870">
          <cell r="A870" t="str">
            <v>zzz</v>
          </cell>
          <cell r="B870" t="str">
            <v>Tot</v>
          </cell>
          <cell r="C870" t="str">
            <v>3.25 a 29</v>
          </cell>
          <cell r="D870">
            <v>35736</v>
          </cell>
          <cell r="E870">
            <v>1062505126.4</v>
          </cell>
        </row>
        <row r="871">
          <cell r="A871" t="str">
            <v>zzz</v>
          </cell>
          <cell r="B871" t="str">
            <v>Tot</v>
          </cell>
          <cell r="C871" t="str">
            <v>4.30 a 34</v>
          </cell>
          <cell r="D871">
            <v>60123</v>
          </cell>
          <cell r="E871">
            <v>2078866438.6900001</v>
          </cell>
        </row>
        <row r="872">
          <cell r="A872" t="str">
            <v>zzz</v>
          </cell>
          <cell r="B872" t="str">
            <v>Tot</v>
          </cell>
          <cell r="C872" t="str">
            <v>5.35 a 39</v>
          </cell>
          <cell r="D872">
            <v>77046</v>
          </cell>
          <cell r="E872">
            <v>2794459118.3800001</v>
          </cell>
        </row>
        <row r="873">
          <cell r="A873" t="str">
            <v>zzz</v>
          </cell>
          <cell r="B873" t="str">
            <v>Tot</v>
          </cell>
          <cell r="C873" t="str">
            <v>6.40 a 44</v>
          </cell>
          <cell r="D873">
            <v>82854</v>
          </cell>
          <cell r="E873">
            <v>3138827409.29</v>
          </cell>
        </row>
        <row r="874">
          <cell r="A874" t="str">
            <v>zzz</v>
          </cell>
          <cell r="B874" t="str">
            <v>Tot</v>
          </cell>
          <cell r="C874" t="str">
            <v>7.45 a 49</v>
          </cell>
          <cell r="D874">
            <v>70516</v>
          </cell>
          <cell r="E874">
            <v>2765396569.6799998</v>
          </cell>
        </row>
        <row r="875">
          <cell r="A875" t="str">
            <v>zzz</v>
          </cell>
          <cell r="B875" t="str">
            <v>Tot</v>
          </cell>
          <cell r="C875" t="str">
            <v>8.50 a 54</v>
          </cell>
          <cell r="D875">
            <v>66944</v>
          </cell>
          <cell r="E875">
            <v>2923727798.5</v>
          </cell>
        </row>
        <row r="876">
          <cell r="A876" t="str">
            <v>zzz</v>
          </cell>
          <cell r="B876" t="str">
            <v>Tot</v>
          </cell>
          <cell r="C876" t="str">
            <v>9.55 a 59</v>
          </cell>
          <cell r="D876">
            <v>66187</v>
          </cell>
          <cell r="E876">
            <v>3242510406.1399999</v>
          </cell>
        </row>
        <row r="877">
          <cell r="A877" t="str">
            <v>zzz</v>
          </cell>
          <cell r="B877" t="str">
            <v>Tot</v>
          </cell>
          <cell r="C877" t="str">
            <v>A.60 a 64</v>
          </cell>
          <cell r="D877">
            <v>48352</v>
          </cell>
          <cell r="E877">
            <v>2593873879.1999998</v>
          </cell>
        </row>
        <row r="878">
          <cell r="A878" t="str">
            <v>zzz</v>
          </cell>
          <cell r="B878" t="str">
            <v>Tot</v>
          </cell>
          <cell r="C878" t="str">
            <v>B.65 y más</v>
          </cell>
          <cell r="D878">
            <v>18799</v>
          </cell>
          <cell r="E878">
            <v>970382319.04999995</v>
          </cell>
        </row>
        <row r="879">
          <cell r="A879" t="str">
            <v>zzz</v>
          </cell>
          <cell r="B879" t="str">
            <v>Tot</v>
          </cell>
          <cell r="C879" t="str">
            <v>X.No Informada</v>
          </cell>
          <cell r="D879">
            <v>2532</v>
          </cell>
          <cell r="E879">
            <v>80329656.989999995</v>
          </cell>
        </row>
        <row r="880">
          <cell r="A880" t="str">
            <v>zzz</v>
          </cell>
          <cell r="B880" t="str">
            <v xml:space="preserve">x  </v>
          </cell>
          <cell r="C880" t="str">
            <v>0. TOTAL</v>
          </cell>
          <cell r="D880">
            <v>205</v>
          </cell>
          <cell r="E880">
            <v>5738353.0300000003</v>
          </cell>
        </row>
        <row r="881">
          <cell r="A881" t="str">
            <v>zzz</v>
          </cell>
          <cell r="B881" t="str">
            <v xml:space="preserve">x  </v>
          </cell>
          <cell r="C881" t="str">
            <v>5.35 a 39</v>
          </cell>
          <cell r="D881">
            <v>6</v>
          </cell>
          <cell r="E881">
            <v>126035.4</v>
          </cell>
        </row>
        <row r="882">
          <cell r="A882" t="str">
            <v>zzz</v>
          </cell>
          <cell r="B882" t="str">
            <v xml:space="preserve">x  </v>
          </cell>
          <cell r="C882" t="str">
            <v>6.40 a 44</v>
          </cell>
          <cell r="D882">
            <v>11</v>
          </cell>
          <cell r="E882">
            <v>720120.88</v>
          </cell>
        </row>
        <row r="883">
          <cell r="A883" t="str">
            <v>zzz</v>
          </cell>
          <cell r="B883" t="str">
            <v xml:space="preserve">x  </v>
          </cell>
          <cell r="C883" t="str">
            <v>A.60 a 64</v>
          </cell>
          <cell r="D883">
            <v>3</v>
          </cell>
          <cell r="E883">
            <v>203106.14</v>
          </cell>
        </row>
        <row r="884">
          <cell r="A884" t="str">
            <v>zzz</v>
          </cell>
          <cell r="B884" t="str">
            <v xml:space="preserve">x  </v>
          </cell>
          <cell r="C884" t="str">
            <v>X.No Informada</v>
          </cell>
          <cell r="D884">
            <v>174</v>
          </cell>
          <cell r="E884">
            <v>3970344.19</v>
          </cell>
        </row>
      </sheetData>
      <sheetData sheetId="2">
        <row r="2">
          <cell r="A2" t="str">
            <v>Agricultura y Ganaderia</v>
          </cell>
          <cell r="B2" t="str">
            <v>F</v>
          </cell>
          <cell r="C2" t="str">
            <v>0. TOTAL</v>
          </cell>
          <cell r="D2">
            <v>36001</v>
          </cell>
          <cell r="E2">
            <v>942775648.60000002</v>
          </cell>
        </row>
        <row r="3">
          <cell r="A3" t="str">
            <v>Agricultura y Ganaderia</v>
          </cell>
          <cell r="B3" t="str">
            <v>F</v>
          </cell>
          <cell r="C3" t="str">
            <v>1.Hasta 24</v>
          </cell>
          <cell r="D3">
            <v>4793</v>
          </cell>
          <cell r="E3">
            <v>66263253.560000002</v>
          </cell>
        </row>
        <row r="4">
          <cell r="A4" t="str">
            <v>Agricultura y Ganaderia</v>
          </cell>
          <cell r="B4" t="str">
            <v>F</v>
          </cell>
          <cell r="C4" t="str">
            <v>3.25 a 29</v>
          </cell>
          <cell r="D4">
            <v>5176</v>
          </cell>
          <cell r="E4">
            <v>115856240.97</v>
          </cell>
        </row>
        <row r="5">
          <cell r="A5" t="str">
            <v>Agricultura y Ganaderia</v>
          </cell>
          <cell r="B5" t="str">
            <v>F</v>
          </cell>
          <cell r="C5" t="str">
            <v>4.30 a 34</v>
          </cell>
          <cell r="D5">
            <v>5397</v>
          </cell>
          <cell r="E5">
            <v>145089155.75</v>
          </cell>
        </row>
        <row r="6">
          <cell r="A6" t="str">
            <v>Agricultura y Ganaderia</v>
          </cell>
          <cell r="B6" t="str">
            <v>F</v>
          </cell>
          <cell r="C6" t="str">
            <v>5.35 a 39</v>
          </cell>
          <cell r="D6">
            <v>5598</v>
          </cell>
          <cell r="E6">
            <v>155971874.38999999</v>
          </cell>
        </row>
        <row r="7">
          <cell r="A7" t="str">
            <v>Agricultura y Ganaderia</v>
          </cell>
          <cell r="B7" t="str">
            <v>F</v>
          </cell>
          <cell r="C7" t="str">
            <v>6.40 a 44</v>
          </cell>
          <cell r="D7">
            <v>5149</v>
          </cell>
          <cell r="E7">
            <v>152190954.61000001</v>
          </cell>
        </row>
        <row r="8">
          <cell r="A8" t="str">
            <v>Agricultura y Ganaderia</v>
          </cell>
          <cell r="B8" t="str">
            <v>F</v>
          </cell>
          <cell r="C8" t="str">
            <v>7.45 a 49</v>
          </cell>
          <cell r="D8">
            <v>3750</v>
          </cell>
          <cell r="E8">
            <v>110751108.13</v>
          </cell>
        </row>
        <row r="9">
          <cell r="A9" t="str">
            <v>Agricultura y Ganaderia</v>
          </cell>
          <cell r="B9" t="str">
            <v>F</v>
          </cell>
          <cell r="C9" t="str">
            <v>8.50 a 54</v>
          </cell>
          <cell r="D9">
            <v>2733</v>
          </cell>
          <cell r="E9">
            <v>80644008.930000007</v>
          </cell>
        </row>
        <row r="10">
          <cell r="A10" t="str">
            <v>Agricultura y Ganaderia</v>
          </cell>
          <cell r="B10" t="str">
            <v>F</v>
          </cell>
          <cell r="C10" t="str">
            <v>9.55 a 59</v>
          </cell>
          <cell r="D10">
            <v>2036</v>
          </cell>
          <cell r="E10">
            <v>69168925.780000001</v>
          </cell>
        </row>
        <row r="11">
          <cell r="A11" t="str">
            <v>Agricultura y Ganaderia</v>
          </cell>
          <cell r="B11" t="str">
            <v>F</v>
          </cell>
          <cell r="C11" t="str">
            <v>A.60 a 64</v>
          </cell>
          <cell r="D11">
            <v>749</v>
          </cell>
          <cell r="E11">
            <v>25992823.32</v>
          </cell>
        </row>
        <row r="12">
          <cell r="A12" t="str">
            <v>Agricultura y Ganaderia</v>
          </cell>
          <cell r="B12" t="str">
            <v>F</v>
          </cell>
          <cell r="C12" t="str">
            <v>B.65 y más</v>
          </cell>
          <cell r="D12">
            <v>455</v>
          </cell>
          <cell r="E12">
            <v>16614559.85</v>
          </cell>
        </row>
        <row r="13">
          <cell r="A13" t="str">
            <v>Agricultura y Ganaderia</v>
          </cell>
          <cell r="B13" t="str">
            <v>F</v>
          </cell>
          <cell r="C13" t="str">
            <v>X.No Informada</v>
          </cell>
          <cell r="D13">
            <v>165</v>
          </cell>
          <cell r="E13">
            <v>4232743.3099999996</v>
          </cell>
        </row>
        <row r="14">
          <cell r="A14" t="str">
            <v>Agricultura y Ganaderia</v>
          </cell>
          <cell r="B14" t="str">
            <v>M</v>
          </cell>
          <cell r="C14" t="str">
            <v>0. TOTAL</v>
          </cell>
          <cell r="D14">
            <v>261540</v>
          </cell>
          <cell r="E14">
            <v>8224067534.1000004</v>
          </cell>
        </row>
        <row r="15">
          <cell r="A15" t="str">
            <v>Agricultura y Ganaderia</v>
          </cell>
          <cell r="B15" t="str">
            <v>M</v>
          </cell>
          <cell r="C15" t="str">
            <v>1.Hasta 24</v>
          </cell>
          <cell r="D15">
            <v>33387</v>
          </cell>
          <cell r="E15">
            <v>654166791.46000004</v>
          </cell>
        </row>
        <row r="16">
          <cell r="A16" t="str">
            <v>Agricultura y Ganaderia</v>
          </cell>
          <cell r="B16" t="str">
            <v>M</v>
          </cell>
          <cell r="C16" t="str">
            <v>3.25 a 29</v>
          </cell>
          <cell r="D16">
            <v>36577</v>
          </cell>
          <cell r="E16">
            <v>954929544.49000001</v>
          </cell>
        </row>
        <row r="17">
          <cell r="A17" t="str">
            <v>Agricultura y Ganaderia</v>
          </cell>
          <cell r="B17" t="str">
            <v>M</v>
          </cell>
          <cell r="C17" t="str">
            <v>4.30 a 34</v>
          </cell>
          <cell r="D17">
            <v>35250</v>
          </cell>
          <cell r="E17">
            <v>1060765141.4400001</v>
          </cell>
        </row>
        <row r="18">
          <cell r="A18" t="str">
            <v>Agricultura y Ganaderia</v>
          </cell>
          <cell r="B18" t="str">
            <v>M</v>
          </cell>
          <cell r="C18" t="str">
            <v>5.35 a 39</v>
          </cell>
          <cell r="D18">
            <v>36434</v>
          </cell>
          <cell r="E18">
            <v>1198354903.6199999</v>
          </cell>
        </row>
        <row r="19">
          <cell r="A19" t="str">
            <v>Agricultura y Ganaderia</v>
          </cell>
          <cell r="B19" t="str">
            <v>M</v>
          </cell>
          <cell r="C19" t="str">
            <v>6.40 a 44</v>
          </cell>
          <cell r="D19">
            <v>34797</v>
          </cell>
          <cell r="E19">
            <v>1224570337.5999999</v>
          </cell>
        </row>
        <row r="20">
          <cell r="A20" t="str">
            <v>Agricultura y Ganaderia</v>
          </cell>
          <cell r="B20" t="str">
            <v>M</v>
          </cell>
          <cell r="C20" t="str">
            <v>7.45 a 49</v>
          </cell>
          <cell r="D20">
            <v>28458</v>
          </cell>
          <cell r="E20">
            <v>1065081045.88</v>
          </cell>
        </row>
        <row r="21">
          <cell r="A21" t="str">
            <v>Agricultura y Ganaderia</v>
          </cell>
          <cell r="B21" t="str">
            <v>M</v>
          </cell>
          <cell r="C21" t="str">
            <v>8.50 a 54</v>
          </cell>
          <cell r="D21">
            <v>23912</v>
          </cell>
          <cell r="E21">
            <v>866431527.30999994</v>
          </cell>
        </row>
        <row r="22">
          <cell r="A22" t="str">
            <v>Agricultura y Ganaderia</v>
          </cell>
          <cell r="B22" t="str">
            <v>M</v>
          </cell>
          <cell r="C22" t="str">
            <v>9.55 a 59</v>
          </cell>
          <cell r="D22">
            <v>18087</v>
          </cell>
          <cell r="E22">
            <v>658282690.76999998</v>
          </cell>
        </row>
        <row r="23">
          <cell r="A23" t="str">
            <v>Agricultura y Ganaderia</v>
          </cell>
          <cell r="B23" t="str">
            <v>M</v>
          </cell>
          <cell r="C23" t="str">
            <v>A.60 a 64</v>
          </cell>
          <cell r="D23">
            <v>9564</v>
          </cell>
          <cell r="E23">
            <v>357264675.29000002</v>
          </cell>
        </row>
        <row r="24">
          <cell r="A24" t="str">
            <v>Agricultura y Ganaderia</v>
          </cell>
          <cell r="B24" t="str">
            <v>M</v>
          </cell>
          <cell r="C24" t="str">
            <v>B.65 y más</v>
          </cell>
          <cell r="D24">
            <v>4983</v>
          </cell>
          <cell r="E24">
            <v>180692871.41</v>
          </cell>
        </row>
        <row r="25">
          <cell r="A25" t="str">
            <v>Agricultura y Ganaderia</v>
          </cell>
          <cell r="B25" t="str">
            <v>M</v>
          </cell>
          <cell r="C25" t="str">
            <v>X.No Informada</v>
          </cell>
          <cell r="D25">
            <v>91</v>
          </cell>
          <cell r="E25">
            <v>3528004.83</v>
          </cell>
        </row>
        <row r="26">
          <cell r="A26" t="str">
            <v>Agricultura y Ganaderia</v>
          </cell>
          <cell r="B26" t="str">
            <v>x</v>
          </cell>
          <cell r="C26" t="str">
            <v>0. TOTAL</v>
          </cell>
          <cell r="D26">
            <v>97</v>
          </cell>
          <cell r="E26">
            <v>1532540.13</v>
          </cell>
        </row>
        <row r="27">
          <cell r="A27" t="str">
            <v>Agricultura y Ganaderia</v>
          </cell>
          <cell r="B27" t="str">
            <v>x</v>
          </cell>
          <cell r="C27" t="str">
            <v>3.25 a 29</v>
          </cell>
          <cell r="D27">
            <v>2</v>
          </cell>
          <cell r="E27">
            <v>12977.28</v>
          </cell>
        </row>
        <row r="28">
          <cell r="A28" t="str">
            <v>Agricultura y Ganaderia</v>
          </cell>
          <cell r="B28" t="str">
            <v>x</v>
          </cell>
          <cell r="C28" t="str">
            <v>6.40 a 44</v>
          </cell>
          <cell r="D28">
            <v>2</v>
          </cell>
          <cell r="E28">
            <v>65014.8</v>
          </cell>
        </row>
        <row r="29">
          <cell r="A29" t="str">
            <v>Agricultura y Ganaderia</v>
          </cell>
          <cell r="B29" t="str">
            <v>x</v>
          </cell>
          <cell r="C29" t="str">
            <v>8.50 a 54</v>
          </cell>
          <cell r="D29">
            <v>2</v>
          </cell>
          <cell r="E29">
            <v>60625.68</v>
          </cell>
        </row>
        <row r="30">
          <cell r="A30" t="str">
            <v>Agricultura y Ganaderia</v>
          </cell>
          <cell r="B30" t="str">
            <v>x</v>
          </cell>
          <cell r="C30" t="str">
            <v>9.55 a 59</v>
          </cell>
          <cell r="D30">
            <v>3</v>
          </cell>
          <cell r="E30">
            <v>98093.88</v>
          </cell>
        </row>
        <row r="31">
          <cell r="A31" t="str">
            <v>Agricultura y Ganaderia</v>
          </cell>
          <cell r="B31" t="str">
            <v>x</v>
          </cell>
          <cell r="C31" t="str">
            <v>A.60 a 64</v>
          </cell>
          <cell r="D31">
            <v>1</v>
          </cell>
          <cell r="E31">
            <v>24445.89</v>
          </cell>
        </row>
        <row r="32">
          <cell r="A32" t="str">
            <v>Agricultura y Ganaderia</v>
          </cell>
          <cell r="B32" t="str">
            <v>x</v>
          </cell>
          <cell r="C32" t="str">
            <v>B.65 y más</v>
          </cell>
          <cell r="D32">
            <v>1</v>
          </cell>
          <cell r="E32">
            <v>26309.89</v>
          </cell>
        </row>
        <row r="33">
          <cell r="A33" t="str">
            <v>Agricultura y Ganaderia</v>
          </cell>
          <cell r="B33" t="str">
            <v>x</v>
          </cell>
          <cell r="C33" t="str">
            <v>X.No Informada</v>
          </cell>
          <cell r="D33">
            <v>86</v>
          </cell>
          <cell r="E33">
            <v>1245072.71</v>
          </cell>
        </row>
        <row r="34">
          <cell r="A34" t="str">
            <v>Agricultura y Ganaderia</v>
          </cell>
          <cell r="B34" t="str">
            <v>z</v>
          </cell>
          <cell r="C34" t="str">
            <v>0. TOTAL</v>
          </cell>
          <cell r="D34">
            <v>297638</v>
          </cell>
          <cell r="E34">
            <v>9168375722.8299999</v>
          </cell>
        </row>
        <row r="35">
          <cell r="A35" t="str">
            <v>Agricultura y Ganaderia</v>
          </cell>
          <cell r="B35" t="str">
            <v>z</v>
          </cell>
          <cell r="C35" t="str">
            <v>1.Hasta 24</v>
          </cell>
          <cell r="D35">
            <v>38180</v>
          </cell>
          <cell r="E35">
            <v>720430045.01999998</v>
          </cell>
        </row>
        <row r="36">
          <cell r="A36" t="str">
            <v>Agricultura y Ganaderia</v>
          </cell>
          <cell r="B36" t="str">
            <v>z</v>
          </cell>
          <cell r="C36" t="str">
            <v>3.25 a 29</v>
          </cell>
          <cell r="D36">
            <v>41755</v>
          </cell>
          <cell r="E36">
            <v>1070798762.74</v>
          </cell>
        </row>
        <row r="37">
          <cell r="A37" t="str">
            <v>Agricultura y Ganaderia</v>
          </cell>
          <cell r="B37" t="str">
            <v>z</v>
          </cell>
          <cell r="C37" t="str">
            <v>4.30 a 34</v>
          </cell>
          <cell r="D37">
            <v>40647</v>
          </cell>
          <cell r="E37">
            <v>1205854297.1900001</v>
          </cell>
        </row>
        <row r="38">
          <cell r="A38" t="str">
            <v>Agricultura y Ganaderia</v>
          </cell>
          <cell r="B38" t="str">
            <v>z</v>
          </cell>
          <cell r="C38" t="str">
            <v>5.35 a 39</v>
          </cell>
          <cell r="D38">
            <v>42032</v>
          </cell>
          <cell r="E38">
            <v>1354326778.01</v>
          </cell>
        </row>
        <row r="39">
          <cell r="A39" t="str">
            <v>Agricultura y Ganaderia</v>
          </cell>
          <cell r="B39" t="str">
            <v>z</v>
          </cell>
          <cell r="C39" t="str">
            <v>6.40 a 44</v>
          </cell>
          <cell r="D39">
            <v>39948</v>
          </cell>
          <cell r="E39">
            <v>1376826307.01</v>
          </cell>
        </row>
        <row r="40">
          <cell r="A40" t="str">
            <v>Agricultura y Ganaderia</v>
          </cell>
          <cell r="B40" t="str">
            <v>z</v>
          </cell>
          <cell r="C40" t="str">
            <v>7.45 a 49</v>
          </cell>
          <cell r="D40">
            <v>32208</v>
          </cell>
          <cell r="E40">
            <v>1175832154.01</v>
          </cell>
        </row>
        <row r="41">
          <cell r="A41" t="str">
            <v>Agricultura y Ganaderia</v>
          </cell>
          <cell r="B41" t="str">
            <v>z</v>
          </cell>
          <cell r="C41" t="str">
            <v>8.50 a 54</v>
          </cell>
          <cell r="D41">
            <v>26647</v>
          </cell>
          <cell r="E41">
            <v>947136161.91999996</v>
          </cell>
        </row>
        <row r="42">
          <cell r="A42" t="str">
            <v>Agricultura y Ganaderia</v>
          </cell>
          <cell r="B42" t="str">
            <v>z</v>
          </cell>
          <cell r="C42" t="str">
            <v>9.55 a 59</v>
          </cell>
          <cell r="D42">
            <v>20126</v>
          </cell>
          <cell r="E42">
            <v>727549710.42999995</v>
          </cell>
        </row>
        <row r="43">
          <cell r="A43" t="str">
            <v>Agricultura y Ganaderia</v>
          </cell>
          <cell r="B43" t="str">
            <v>z</v>
          </cell>
          <cell r="C43" t="str">
            <v>A.60 a 64</v>
          </cell>
          <cell r="D43">
            <v>10314</v>
          </cell>
          <cell r="E43">
            <v>383281944.5</v>
          </cell>
        </row>
        <row r="44">
          <cell r="A44" t="str">
            <v>Agricultura y Ganaderia</v>
          </cell>
          <cell r="B44" t="str">
            <v>z</v>
          </cell>
          <cell r="C44" t="str">
            <v>B.65 y más</v>
          </cell>
          <cell r="D44">
            <v>5439</v>
          </cell>
          <cell r="E44">
            <v>197333741.15000001</v>
          </cell>
        </row>
        <row r="45">
          <cell r="A45" t="str">
            <v>Agricultura y Ganaderia</v>
          </cell>
          <cell r="B45" t="str">
            <v>z</v>
          </cell>
          <cell r="C45" t="str">
            <v>X.No Informada</v>
          </cell>
          <cell r="D45">
            <v>342</v>
          </cell>
          <cell r="E45">
            <v>9005820.8499999996</v>
          </cell>
        </row>
        <row r="46">
          <cell r="A46" t="str">
            <v>Mineria</v>
          </cell>
          <cell r="B46" t="str">
            <v>F</v>
          </cell>
          <cell r="C46" t="str">
            <v>0. TOTAL</v>
          </cell>
          <cell r="D46">
            <v>8109</v>
          </cell>
          <cell r="E46">
            <v>911805433.44000006</v>
          </cell>
        </row>
        <row r="47">
          <cell r="A47" t="str">
            <v>Mineria</v>
          </cell>
          <cell r="B47" t="str">
            <v>F</v>
          </cell>
          <cell r="C47" t="str">
            <v>1.Hasta 24</v>
          </cell>
          <cell r="D47">
            <v>387</v>
          </cell>
          <cell r="E47">
            <v>22569132.449999999</v>
          </cell>
        </row>
        <row r="48">
          <cell r="A48" t="str">
            <v>Mineria</v>
          </cell>
          <cell r="B48" t="str">
            <v>F</v>
          </cell>
          <cell r="C48" t="str">
            <v>3.25 a 29</v>
          </cell>
          <cell r="D48">
            <v>1363</v>
          </cell>
          <cell r="E48">
            <v>115334285.70999999</v>
          </cell>
        </row>
        <row r="49">
          <cell r="A49" t="str">
            <v>Mineria</v>
          </cell>
          <cell r="B49" t="str">
            <v>F</v>
          </cell>
          <cell r="C49" t="str">
            <v>4.30 a 34</v>
          </cell>
          <cell r="D49">
            <v>1739</v>
          </cell>
          <cell r="E49">
            <v>180670484.13</v>
          </cell>
        </row>
        <row r="50">
          <cell r="A50" t="str">
            <v>Mineria</v>
          </cell>
          <cell r="B50" t="str">
            <v>F</v>
          </cell>
          <cell r="C50" t="str">
            <v>5.35 a 39</v>
          </cell>
          <cell r="D50">
            <v>1569</v>
          </cell>
          <cell r="E50">
            <v>190884396.77000001</v>
          </cell>
        </row>
        <row r="51">
          <cell r="A51" t="str">
            <v>Mineria</v>
          </cell>
          <cell r="B51" t="str">
            <v>F</v>
          </cell>
          <cell r="C51" t="str">
            <v>6.40 a 44</v>
          </cell>
          <cell r="D51">
            <v>1232</v>
          </cell>
          <cell r="E51">
            <v>162067398.83000001</v>
          </cell>
        </row>
        <row r="52">
          <cell r="A52" t="str">
            <v>Mineria</v>
          </cell>
          <cell r="B52" t="str">
            <v>F</v>
          </cell>
          <cell r="C52" t="str">
            <v>7.45 a 49</v>
          </cell>
          <cell r="D52">
            <v>791</v>
          </cell>
          <cell r="E52">
            <v>104016619.97</v>
          </cell>
        </row>
        <row r="53">
          <cell r="A53" t="str">
            <v>Mineria</v>
          </cell>
          <cell r="B53" t="str">
            <v>F</v>
          </cell>
          <cell r="C53" t="str">
            <v>8.50 a 54</v>
          </cell>
          <cell r="D53">
            <v>517</v>
          </cell>
          <cell r="E53">
            <v>72537341.409999996</v>
          </cell>
        </row>
        <row r="54">
          <cell r="A54" t="str">
            <v>Mineria</v>
          </cell>
          <cell r="B54" t="str">
            <v>F</v>
          </cell>
          <cell r="C54" t="str">
            <v>9.55 a 59</v>
          </cell>
          <cell r="D54">
            <v>302</v>
          </cell>
          <cell r="E54">
            <v>40096565.030000001</v>
          </cell>
        </row>
        <row r="55">
          <cell r="A55" t="str">
            <v>Mineria</v>
          </cell>
          <cell r="B55" t="str">
            <v>F</v>
          </cell>
          <cell r="C55" t="str">
            <v>A.60 a 64</v>
          </cell>
          <cell r="D55">
            <v>133</v>
          </cell>
          <cell r="E55">
            <v>14902369.16</v>
          </cell>
        </row>
        <row r="56">
          <cell r="A56" t="str">
            <v>Mineria</v>
          </cell>
          <cell r="B56" t="str">
            <v>F</v>
          </cell>
          <cell r="C56" t="str">
            <v>B.65 y más</v>
          </cell>
          <cell r="D56">
            <v>49</v>
          </cell>
          <cell r="E56">
            <v>5709860.9699999997</v>
          </cell>
        </row>
        <row r="57">
          <cell r="A57" t="str">
            <v>Mineria</v>
          </cell>
          <cell r="B57" t="str">
            <v>F</v>
          </cell>
          <cell r="C57" t="str">
            <v>X.No Informada</v>
          </cell>
          <cell r="D57">
            <v>27</v>
          </cell>
          <cell r="E57">
            <v>3016979.01</v>
          </cell>
        </row>
        <row r="58">
          <cell r="A58" t="str">
            <v>Mineria</v>
          </cell>
          <cell r="B58" t="str">
            <v>M</v>
          </cell>
          <cell r="C58" t="str">
            <v>0. TOTAL</v>
          </cell>
          <cell r="D58">
            <v>74208</v>
          </cell>
          <cell r="E58">
            <v>10528079191.389999</v>
          </cell>
        </row>
        <row r="59">
          <cell r="A59" t="str">
            <v>Mineria</v>
          </cell>
          <cell r="B59" t="str">
            <v>M</v>
          </cell>
          <cell r="C59" t="str">
            <v>1.Hasta 24</v>
          </cell>
          <cell r="D59">
            <v>3218</v>
          </cell>
          <cell r="E59">
            <v>223703047.00999999</v>
          </cell>
        </row>
        <row r="60">
          <cell r="A60" t="str">
            <v>Mineria</v>
          </cell>
          <cell r="B60" t="str">
            <v>M</v>
          </cell>
          <cell r="C60" t="str">
            <v>3.25 a 29</v>
          </cell>
          <cell r="D60">
            <v>8356</v>
          </cell>
          <cell r="E60">
            <v>803455522.51999998</v>
          </cell>
        </row>
        <row r="61">
          <cell r="A61" t="str">
            <v>Mineria</v>
          </cell>
          <cell r="B61" t="str">
            <v>M</v>
          </cell>
          <cell r="C61" t="str">
            <v>4.30 a 34</v>
          </cell>
          <cell r="D61">
            <v>13049</v>
          </cell>
          <cell r="E61">
            <v>1589759303.5599999</v>
          </cell>
        </row>
        <row r="62">
          <cell r="A62" t="str">
            <v>Mineria</v>
          </cell>
          <cell r="B62" t="str">
            <v>M</v>
          </cell>
          <cell r="C62" t="str">
            <v>5.35 a 39</v>
          </cell>
          <cell r="D62">
            <v>15259</v>
          </cell>
          <cell r="E62">
            <v>2165332236.0700002</v>
          </cell>
        </row>
        <row r="63">
          <cell r="A63" t="str">
            <v>Mineria</v>
          </cell>
          <cell r="B63" t="str">
            <v>M</v>
          </cell>
          <cell r="C63" t="str">
            <v>6.40 a 44</v>
          </cell>
          <cell r="D63">
            <v>13734</v>
          </cell>
          <cell r="E63">
            <v>2124887381.6900001</v>
          </cell>
        </row>
        <row r="64">
          <cell r="A64" t="str">
            <v>Mineria</v>
          </cell>
          <cell r="B64" t="str">
            <v>M</v>
          </cell>
          <cell r="C64" t="str">
            <v>7.45 a 49</v>
          </cell>
          <cell r="D64">
            <v>9362</v>
          </cell>
          <cell r="E64">
            <v>1557695725.8099999</v>
          </cell>
        </row>
        <row r="65">
          <cell r="A65" t="str">
            <v>Mineria</v>
          </cell>
          <cell r="B65" t="str">
            <v>M</v>
          </cell>
          <cell r="C65" t="str">
            <v>8.50 a 54</v>
          </cell>
          <cell r="D65">
            <v>5707</v>
          </cell>
          <cell r="E65">
            <v>1024687100.8</v>
          </cell>
        </row>
        <row r="66">
          <cell r="A66" t="str">
            <v>Mineria</v>
          </cell>
          <cell r="B66" t="str">
            <v>M</v>
          </cell>
          <cell r="C66" t="str">
            <v>9.55 a 59</v>
          </cell>
          <cell r="D66">
            <v>3260</v>
          </cell>
          <cell r="E66">
            <v>600751838.62</v>
          </cell>
        </row>
        <row r="67">
          <cell r="A67" t="str">
            <v>Mineria</v>
          </cell>
          <cell r="B67" t="str">
            <v>M</v>
          </cell>
          <cell r="C67" t="str">
            <v>A.60 a 64</v>
          </cell>
          <cell r="D67">
            <v>1680</v>
          </cell>
          <cell r="E67">
            <v>333331822.55000001</v>
          </cell>
        </row>
        <row r="68">
          <cell r="A68" t="str">
            <v>Mineria</v>
          </cell>
          <cell r="B68" t="str">
            <v>M</v>
          </cell>
          <cell r="C68" t="str">
            <v>B.65 y más</v>
          </cell>
          <cell r="D68">
            <v>545</v>
          </cell>
          <cell r="E68">
            <v>98169441.590000004</v>
          </cell>
        </row>
        <row r="69">
          <cell r="A69" t="str">
            <v>Mineria</v>
          </cell>
          <cell r="B69" t="str">
            <v>M</v>
          </cell>
          <cell r="C69" t="str">
            <v>X.No Informada</v>
          </cell>
          <cell r="D69">
            <v>38</v>
          </cell>
          <cell r="E69">
            <v>6305771.1699999999</v>
          </cell>
        </row>
        <row r="70">
          <cell r="A70" t="str">
            <v>Mineria</v>
          </cell>
          <cell r="B70" t="str">
            <v>x</v>
          </cell>
          <cell r="C70" t="str">
            <v>0. TOTAL</v>
          </cell>
          <cell r="D70">
            <v>6</v>
          </cell>
          <cell r="E70">
            <v>936776.02</v>
          </cell>
        </row>
        <row r="71">
          <cell r="A71" t="str">
            <v>Mineria</v>
          </cell>
          <cell r="B71" t="str">
            <v>x</v>
          </cell>
          <cell r="C71" t="str">
            <v>5.35 a 39</v>
          </cell>
          <cell r="D71">
            <v>1</v>
          </cell>
          <cell r="E71">
            <v>104000</v>
          </cell>
        </row>
        <row r="72">
          <cell r="A72" t="str">
            <v>Mineria</v>
          </cell>
          <cell r="B72" t="str">
            <v>x</v>
          </cell>
          <cell r="C72" t="str">
            <v>8.50 a 54</v>
          </cell>
          <cell r="D72">
            <v>1</v>
          </cell>
          <cell r="E72">
            <v>217585.59</v>
          </cell>
        </row>
        <row r="73">
          <cell r="A73" t="str">
            <v>Mineria</v>
          </cell>
          <cell r="B73" t="str">
            <v>x</v>
          </cell>
          <cell r="C73" t="str">
            <v>X.No Informada</v>
          </cell>
          <cell r="D73">
            <v>4</v>
          </cell>
          <cell r="E73">
            <v>615190.43000000005</v>
          </cell>
        </row>
        <row r="74">
          <cell r="A74" t="str">
            <v>Mineria</v>
          </cell>
          <cell r="B74" t="str">
            <v>z</v>
          </cell>
          <cell r="C74" t="str">
            <v>0. TOTAL</v>
          </cell>
          <cell r="D74">
            <v>82323</v>
          </cell>
          <cell r="E74">
            <v>11440821400.85</v>
          </cell>
        </row>
        <row r="75">
          <cell r="A75" t="str">
            <v>Mineria</v>
          </cell>
          <cell r="B75" t="str">
            <v>z</v>
          </cell>
          <cell r="C75" t="str">
            <v>1.Hasta 24</v>
          </cell>
          <cell r="D75">
            <v>3605</v>
          </cell>
          <cell r="E75">
            <v>246272179.46000001</v>
          </cell>
        </row>
        <row r="76">
          <cell r="A76" t="str">
            <v>Mineria</v>
          </cell>
          <cell r="B76" t="str">
            <v>z</v>
          </cell>
          <cell r="C76" t="str">
            <v>3.25 a 29</v>
          </cell>
          <cell r="D76">
            <v>9719</v>
          </cell>
          <cell r="E76">
            <v>918789808.23000002</v>
          </cell>
        </row>
        <row r="77">
          <cell r="A77" t="str">
            <v>Mineria</v>
          </cell>
          <cell r="B77" t="str">
            <v>z</v>
          </cell>
          <cell r="C77" t="str">
            <v>4.30 a 34</v>
          </cell>
          <cell r="D77">
            <v>14788</v>
          </cell>
          <cell r="E77">
            <v>1770429787.6900001</v>
          </cell>
        </row>
        <row r="78">
          <cell r="A78" t="str">
            <v>Mineria</v>
          </cell>
          <cell r="B78" t="str">
            <v>z</v>
          </cell>
          <cell r="C78" t="str">
            <v>5.35 a 39</v>
          </cell>
          <cell r="D78">
            <v>16829</v>
          </cell>
          <cell r="E78">
            <v>2356320632.8400002</v>
          </cell>
        </row>
        <row r="79">
          <cell r="A79" t="str">
            <v>Mineria</v>
          </cell>
          <cell r="B79" t="str">
            <v>z</v>
          </cell>
          <cell r="C79" t="str">
            <v>6.40 a 44</v>
          </cell>
          <cell r="D79">
            <v>14966</v>
          </cell>
          <cell r="E79">
            <v>2286954780.52</v>
          </cell>
        </row>
        <row r="80">
          <cell r="A80" t="str">
            <v>Mineria</v>
          </cell>
          <cell r="B80" t="str">
            <v>z</v>
          </cell>
          <cell r="C80" t="str">
            <v>7.45 a 49</v>
          </cell>
          <cell r="D80">
            <v>10153</v>
          </cell>
          <cell r="E80">
            <v>1661712345.78</v>
          </cell>
        </row>
        <row r="81">
          <cell r="A81" t="str">
            <v>Mineria</v>
          </cell>
          <cell r="B81" t="str">
            <v>z</v>
          </cell>
          <cell r="C81" t="str">
            <v>8.50 a 54</v>
          </cell>
          <cell r="D81">
            <v>6225</v>
          </cell>
          <cell r="E81">
            <v>1097442027.8</v>
          </cell>
        </row>
        <row r="82">
          <cell r="A82" t="str">
            <v>Mineria</v>
          </cell>
          <cell r="B82" t="str">
            <v>z</v>
          </cell>
          <cell r="C82" t="str">
            <v>9.55 a 59</v>
          </cell>
          <cell r="D82">
            <v>3562</v>
          </cell>
          <cell r="E82">
            <v>640848403.64999998</v>
          </cell>
        </row>
        <row r="83">
          <cell r="A83" t="str">
            <v>Mineria</v>
          </cell>
          <cell r="B83" t="str">
            <v>z</v>
          </cell>
          <cell r="C83" t="str">
            <v>A.60 a 64</v>
          </cell>
          <cell r="D83">
            <v>1813</v>
          </cell>
          <cell r="E83">
            <v>348234191.70999998</v>
          </cell>
        </row>
        <row r="84">
          <cell r="A84" t="str">
            <v>Mineria</v>
          </cell>
          <cell r="B84" t="str">
            <v>z</v>
          </cell>
          <cell r="C84" t="str">
            <v>B.65 y más</v>
          </cell>
          <cell r="D84">
            <v>594</v>
          </cell>
          <cell r="E84">
            <v>103879302.56</v>
          </cell>
        </row>
        <row r="85">
          <cell r="A85" t="str">
            <v>Mineria</v>
          </cell>
          <cell r="B85" t="str">
            <v>z</v>
          </cell>
          <cell r="C85" t="str">
            <v>X.No Informada</v>
          </cell>
          <cell r="D85">
            <v>69</v>
          </cell>
          <cell r="E85">
            <v>9937940.6099999994</v>
          </cell>
        </row>
        <row r="86">
          <cell r="A86" t="str">
            <v>Ind. Manufacturera</v>
          </cell>
          <cell r="B86" t="str">
            <v>F</v>
          </cell>
          <cell r="C86" t="str">
            <v>0. TOTAL</v>
          </cell>
          <cell r="D86">
            <v>186990</v>
          </cell>
          <cell r="E86">
            <v>9206788086.0699997</v>
          </cell>
        </row>
        <row r="87">
          <cell r="A87" t="str">
            <v>Ind. Manufacturera</v>
          </cell>
          <cell r="B87" t="str">
            <v>F</v>
          </cell>
          <cell r="C87" t="str">
            <v>1.Hasta 24</v>
          </cell>
          <cell r="D87">
            <v>11833</v>
          </cell>
          <cell r="E87">
            <v>343659759.83999997</v>
          </cell>
        </row>
        <row r="88">
          <cell r="A88" t="str">
            <v>Ind. Manufacturera</v>
          </cell>
          <cell r="B88" t="str">
            <v>F</v>
          </cell>
          <cell r="C88" t="str">
            <v>3.25 a 29</v>
          </cell>
          <cell r="D88">
            <v>27219</v>
          </cell>
          <cell r="E88">
            <v>1083120596.3</v>
          </cell>
        </row>
        <row r="89">
          <cell r="A89" t="str">
            <v>Ind. Manufacturera</v>
          </cell>
          <cell r="B89" t="str">
            <v>F</v>
          </cell>
          <cell r="C89" t="str">
            <v>4.30 a 34</v>
          </cell>
          <cell r="D89">
            <v>32205</v>
          </cell>
          <cell r="E89">
            <v>1525518633.0699999</v>
          </cell>
        </row>
        <row r="90">
          <cell r="A90" t="str">
            <v>Ind. Manufacturera</v>
          </cell>
          <cell r="B90" t="str">
            <v>F</v>
          </cell>
          <cell r="C90" t="str">
            <v>5.35 a 39</v>
          </cell>
          <cell r="D90">
            <v>31181</v>
          </cell>
          <cell r="E90">
            <v>1619866592.2</v>
          </cell>
        </row>
        <row r="91">
          <cell r="A91" t="str">
            <v>Ind. Manufacturera</v>
          </cell>
          <cell r="B91" t="str">
            <v>F</v>
          </cell>
          <cell r="C91" t="str">
            <v>6.40 a 44</v>
          </cell>
          <cell r="D91">
            <v>28436</v>
          </cell>
          <cell r="E91">
            <v>1578040764</v>
          </cell>
        </row>
        <row r="92">
          <cell r="A92" t="str">
            <v>Ind. Manufacturera</v>
          </cell>
          <cell r="B92" t="str">
            <v>F</v>
          </cell>
          <cell r="C92" t="str">
            <v>7.45 a 49</v>
          </cell>
          <cell r="D92">
            <v>22122</v>
          </cell>
          <cell r="E92">
            <v>1270875315.96</v>
          </cell>
        </row>
        <row r="93">
          <cell r="A93" t="str">
            <v>Ind. Manufacturera</v>
          </cell>
          <cell r="B93" t="str">
            <v>F</v>
          </cell>
          <cell r="C93" t="str">
            <v>8.50 a 54</v>
          </cell>
          <cell r="D93">
            <v>14989</v>
          </cell>
          <cell r="E93">
            <v>822929448.75999999</v>
          </cell>
        </row>
        <row r="94">
          <cell r="A94" t="str">
            <v>Ind. Manufacturera</v>
          </cell>
          <cell r="B94" t="str">
            <v>F</v>
          </cell>
          <cell r="C94" t="str">
            <v>9.55 a 59</v>
          </cell>
          <cell r="D94">
            <v>11614</v>
          </cell>
          <cell r="E94">
            <v>604122435.67999995</v>
          </cell>
        </row>
        <row r="95">
          <cell r="A95" t="str">
            <v>Ind. Manufacturera</v>
          </cell>
          <cell r="B95" t="str">
            <v>F</v>
          </cell>
          <cell r="C95" t="str">
            <v>A.60 a 64</v>
          </cell>
          <cell r="D95">
            <v>4305</v>
          </cell>
          <cell r="E95">
            <v>228391697.41999999</v>
          </cell>
        </row>
        <row r="96">
          <cell r="A96" t="str">
            <v>Ind. Manufacturera</v>
          </cell>
          <cell r="B96" t="str">
            <v>F</v>
          </cell>
          <cell r="C96" t="str">
            <v>B.65 y más</v>
          </cell>
          <cell r="D96">
            <v>2303</v>
          </cell>
          <cell r="E96">
            <v>99593698.629999995</v>
          </cell>
        </row>
        <row r="97">
          <cell r="A97" t="str">
            <v>Ind. Manufacturera</v>
          </cell>
          <cell r="B97" t="str">
            <v>F</v>
          </cell>
          <cell r="C97" t="str">
            <v>X.No Informada</v>
          </cell>
          <cell r="D97">
            <v>783</v>
          </cell>
          <cell r="E97">
            <v>30669144.210000001</v>
          </cell>
        </row>
        <row r="98">
          <cell r="A98" t="str">
            <v>Ind. Manufacturera</v>
          </cell>
          <cell r="B98" t="str">
            <v>M</v>
          </cell>
          <cell r="C98" t="str">
            <v>0. TOTAL</v>
          </cell>
          <cell r="D98">
            <v>868161</v>
          </cell>
          <cell r="E98">
            <v>48205947453.589996</v>
          </cell>
        </row>
        <row r="99">
          <cell r="A99" t="str">
            <v>Ind. Manufacturera</v>
          </cell>
          <cell r="B99" t="str">
            <v>M</v>
          </cell>
          <cell r="C99" t="str">
            <v>1.Hasta 24</v>
          </cell>
          <cell r="D99">
            <v>65030</v>
          </cell>
          <cell r="E99">
            <v>2049436571.0899999</v>
          </cell>
        </row>
        <row r="100">
          <cell r="A100" t="str">
            <v>Ind. Manufacturera</v>
          </cell>
          <cell r="B100" t="str">
            <v>M</v>
          </cell>
          <cell r="C100" t="str">
            <v>3.25 a 29</v>
          </cell>
          <cell r="D100">
            <v>115140</v>
          </cell>
          <cell r="E100">
            <v>4658345192.25</v>
          </cell>
        </row>
        <row r="101">
          <cell r="A101" t="str">
            <v>Ind. Manufacturera</v>
          </cell>
          <cell r="B101" t="str">
            <v>M</v>
          </cell>
          <cell r="C101" t="str">
            <v>4.30 a 34</v>
          </cell>
          <cell r="D101">
            <v>137483</v>
          </cell>
          <cell r="E101">
            <v>6793916991.1899996</v>
          </cell>
        </row>
        <row r="102">
          <cell r="A102" t="str">
            <v>Ind. Manufacturera</v>
          </cell>
          <cell r="B102" t="str">
            <v>M</v>
          </cell>
          <cell r="C102" t="str">
            <v>5.35 a 39</v>
          </cell>
          <cell r="D102">
            <v>144550</v>
          </cell>
          <cell r="E102">
            <v>8131941675.2399998</v>
          </cell>
        </row>
        <row r="103">
          <cell r="A103" t="str">
            <v>Ind. Manufacturera</v>
          </cell>
          <cell r="B103" t="str">
            <v>M</v>
          </cell>
          <cell r="C103" t="str">
            <v>6.40 a 44</v>
          </cell>
          <cell r="D103">
            <v>128714</v>
          </cell>
          <cell r="E103">
            <v>7883509035.1999998</v>
          </cell>
        </row>
        <row r="104">
          <cell r="A104" t="str">
            <v>Ind. Manufacturera</v>
          </cell>
          <cell r="B104" t="str">
            <v>M</v>
          </cell>
          <cell r="C104" t="str">
            <v>7.45 a 49</v>
          </cell>
          <cell r="D104">
            <v>96671</v>
          </cell>
          <cell r="E104">
            <v>6384705792.1000004</v>
          </cell>
        </row>
        <row r="105">
          <cell r="A105" t="str">
            <v>Ind. Manufacturera</v>
          </cell>
          <cell r="B105" t="str">
            <v>M</v>
          </cell>
          <cell r="C105" t="str">
            <v>8.50 a 54</v>
          </cell>
          <cell r="D105">
            <v>71942</v>
          </cell>
          <cell r="E105">
            <v>4846586124.3199997</v>
          </cell>
        </row>
        <row r="106">
          <cell r="A106" t="str">
            <v>Ind. Manufacturera</v>
          </cell>
          <cell r="B106" t="str">
            <v>M</v>
          </cell>
          <cell r="C106" t="str">
            <v>9.55 a 59</v>
          </cell>
          <cell r="D106">
            <v>55967</v>
          </cell>
          <cell r="E106">
            <v>3929136200.3699999</v>
          </cell>
        </row>
        <row r="107">
          <cell r="A107" t="str">
            <v>Ind. Manufacturera</v>
          </cell>
          <cell r="B107" t="str">
            <v>M</v>
          </cell>
          <cell r="C107" t="str">
            <v>A.60 a 64</v>
          </cell>
          <cell r="D107">
            <v>38854</v>
          </cell>
          <cell r="E107">
            <v>2686090611.0900002</v>
          </cell>
        </row>
        <row r="108">
          <cell r="A108" t="str">
            <v>Ind. Manufacturera</v>
          </cell>
          <cell r="B108" t="str">
            <v>M</v>
          </cell>
          <cell r="C108" t="str">
            <v>B.65 y más</v>
          </cell>
          <cell r="D108">
            <v>13608</v>
          </cell>
          <cell r="E108">
            <v>830374365.02999997</v>
          </cell>
        </row>
        <row r="109">
          <cell r="A109" t="str">
            <v>Ind. Manufacturera</v>
          </cell>
          <cell r="B109" t="str">
            <v>M</v>
          </cell>
          <cell r="C109" t="str">
            <v>X.No Informada</v>
          </cell>
          <cell r="D109">
            <v>202</v>
          </cell>
          <cell r="E109">
            <v>11904895.710000001</v>
          </cell>
        </row>
        <row r="110">
          <cell r="A110" t="str">
            <v>Ind. Manufacturera</v>
          </cell>
          <cell r="B110" t="str">
            <v>x</v>
          </cell>
          <cell r="C110" t="str">
            <v>0. TOTAL</v>
          </cell>
          <cell r="D110">
            <v>65</v>
          </cell>
          <cell r="E110">
            <v>2744028.79</v>
          </cell>
        </row>
        <row r="111">
          <cell r="A111" t="str">
            <v>Ind. Manufacturera</v>
          </cell>
          <cell r="B111" t="str">
            <v>x</v>
          </cell>
          <cell r="C111" t="str">
            <v>1.Hasta 24</v>
          </cell>
          <cell r="D111">
            <v>2</v>
          </cell>
          <cell r="E111">
            <v>55432.35</v>
          </cell>
        </row>
        <row r="112">
          <cell r="A112" t="str">
            <v>Ind. Manufacturera</v>
          </cell>
          <cell r="B112" t="str">
            <v>x</v>
          </cell>
          <cell r="C112" t="str">
            <v>4.30 a 34</v>
          </cell>
          <cell r="D112">
            <v>5</v>
          </cell>
          <cell r="E112">
            <v>209408.74</v>
          </cell>
        </row>
        <row r="113">
          <cell r="A113" t="str">
            <v>Ind. Manufacturera</v>
          </cell>
          <cell r="B113" t="str">
            <v>x</v>
          </cell>
          <cell r="C113" t="str">
            <v>5.35 a 39</v>
          </cell>
          <cell r="D113">
            <v>4</v>
          </cell>
          <cell r="E113">
            <v>343091.01</v>
          </cell>
        </row>
        <row r="114">
          <cell r="A114" t="str">
            <v>Ind. Manufacturera</v>
          </cell>
          <cell r="B114" t="str">
            <v>x</v>
          </cell>
          <cell r="C114" t="str">
            <v>6.40 a 44</v>
          </cell>
          <cell r="D114">
            <v>9</v>
          </cell>
          <cell r="E114">
            <v>486915.8</v>
          </cell>
        </row>
        <row r="115">
          <cell r="A115" t="str">
            <v>Ind. Manufacturera</v>
          </cell>
          <cell r="B115" t="str">
            <v>x</v>
          </cell>
          <cell r="C115" t="str">
            <v>7.45 a 49</v>
          </cell>
          <cell r="D115">
            <v>4</v>
          </cell>
          <cell r="E115">
            <v>258064.19</v>
          </cell>
        </row>
        <row r="116">
          <cell r="A116" t="str">
            <v>Ind. Manufacturera</v>
          </cell>
          <cell r="B116" t="str">
            <v>x</v>
          </cell>
          <cell r="C116" t="str">
            <v>8.50 a 54</v>
          </cell>
          <cell r="D116">
            <v>3</v>
          </cell>
          <cell r="E116">
            <v>156256.98000000001</v>
          </cell>
        </row>
        <row r="117">
          <cell r="A117" t="str">
            <v>Ind. Manufacturera</v>
          </cell>
          <cell r="B117" t="str">
            <v>x</v>
          </cell>
          <cell r="C117" t="str">
            <v>9.55 a 59</v>
          </cell>
          <cell r="D117">
            <v>3</v>
          </cell>
          <cell r="E117">
            <v>499553.23</v>
          </cell>
        </row>
        <row r="118">
          <cell r="A118" t="str">
            <v>Ind. Manufacturera</v>
          </cell>
          <cell r="B118" t="str">
            <v>x</v>
          </cell>
          <cell r="C118" t="str">
            <v>X.No Informada</v>
          </cell>
          <cell r="D118">
            <v>35</v>
          </cell>
          <cell r="E118">
            <v>735306.49</v>
          </cell>
        </row>
        <row r="119">
          <cell r="A119" t="str">
            <v>Ind. Manufacturera</v>
          </cell>
          <cell r="B119" t="str">
            <v>z</v>
          </cell>
          <cell r="C119" t="str">
            <v>0. TOTAL</v>
          </cell>
          <cell r="D119">
            <v>1055216</v>
          </cell>
          <cell r="E119">
            <v>57415479568.449997</v>
          </cell>
        </row>
        <row r="120">
          <cell r="A120" t="str">
            <v>Ind. Manufacturera</v>
          </cell>
          <cell r="B120" t="str">
            <v>z</v>
          </cell>
          <cell r="C120" t="str">
            <v>1.Hasta 24</v>
          </cell>
          <cell r="D120">
            <v>76865</v>
          </cell>
          <cell r="E120">
            <v>2393151763.2800002</v>
          </cell>
        </row>
        <row r="121">
          <cell r="A121" t="str">
            <v>Ind. Manufacturera</v>
          </cell>
          <cell r="B121" t="str">
            <v>z</v>
          </cell>
          <cell r="C121" t="str">
            <v>3.25 a 29</v>
          </cell>
          <cell r="D121">
            <v>142359</v>
          </cell>
          <cell r="E121">
            <v>5741465788.5500002</v>
          </cell>
        </row>
        <row r="122">
          <cell r="A122" t="str">
            <v>Ind. Manufacturera</v>
          </cell>
          <cell r="B122" t="str">
            <v>z</v>
          </cell>
          <cell r="C122" t="str">
            <v>4.30 a 34</v>
          </cell>
          <cell r="D122">
            <v>169693</v>
          </cell>
          <cell r="E122">
            <v>8319645033</v>
          </cell>
        </row>
        <row r="123">
          <cell r="A123" t="str">
            <v>Ind. Manufacturera</v>
          </cell>
          <cell r="B123" t="str">
            <v>z</v>
          </cell>
          <cell r="C123" t="str">
            <v>5.35 a 39</v>
          </cell>
          <cell r="D123">
            <v>175735</v>
          </cell>
          <cell r="E123">
            <v>9752151358.4500008</v>
          </cell>
        </row>
        <row r="124">
          <cell r="A124" t="str">
            <v>Ind. Manufacturera</v>
          </cell>
          <cell r="B124" t="str">
            <v>z</v>
          </cell>
          <cell r="C124" t="str">
            <v>6.40 a 44</v>
          </cell>
          <cell r="D124">
            <v>157159</v>
          </cell>
          <cell r="E124">
            <v>9462036715</v>
          </cell>
        </row>
        <row r="125">
          <cell r="A125" t="str">
            <v>Ind. Manufacturera</v>
          </cell>
          <cell r="B125" t="str">
            <v>z</v>
          </cell>
          <cell r="C125" t="str">
            <v>7.45 a 49</v>
          </cell>
          <cell r="D125">
            <v>118797</v>
          </cell>
          <cell r="E125">
            <v>7655839172.25</v>
          </cell>
        </row>
        <row r="126">
          <cell r="A126" t="str">
            <v>Ind. Manufacturera</v>
          </cell>
          <cell r="B126" t="str">
            <v>z</v>
          </cell>
          <cell r="C126" t="str">
            <v>8.50 a 54</v>
          </cell>
          <cell r="D126">
            <v>86934</v>
          </cell>
          <cell r="E126">
            <v>5669671830.0600004</v>
          </cell>
        </row>
        <row r="127">
          <cell r="A127" t="str">
            <v>Ind. Manufacturera</v>
          </cell>
          <cell r="B127" t="str">
            <v>z</v>
          </cell>
          <cell r="C127" t="str">
            <v>9.55 a 59</v>
          </cell>
          <cell r="D127">
            <v>67584</v>
          </cell>
          <cell r="E127">
            <v>4533758189.2799997</v>
          </cell>
        </row>
        <row r="128">
          <cell r="A128" t="str">
            <v>Ind. Manufacturera</v>
          </cell>
          <cell r="B128" t="str">
            <v>z</v>
          </cell>
          <cell r="C128" t="str">
            <v>A.60 a 64</v>
          </cell>
          <cell r="D128">
            <v>43159</v>
          </cell>
          <cell r="E128">
            <v>2914482308.5100002</v>
          </cell>
        </row>
        <row r="129">
          <cell r="A129" t="str">
            <v>Ind. Manufacturera</v>
          </cell>
          <cell r="B129" t="str">
            <v>z</v>
          </cell>
          <cell r="C129" t="str">
            <v>B.65 y más</v>
          </cell>
          <cell r="D129">
            <v>15911</v>
          </cell>
          <cell r="E129">
            <v>929968063.65999997</v>
          </cell>
        </row>
        <row r="130">
          <cell r="A130" t="str">
            <v>Ind. Manufacturera</v>
          </cell>
          <cell r="B130" t="str">
            <v>z</v>
          </cell>
          <cell r="C130" t="str">
            <v>X.No Informada</v>
          </cell>
          <cell r="D130">
            <v>1020</v>
          </cell>
          <cell r="E130">
            <v>43309346.409999996</v>
          </cell>
        </row>
        <row r="131">
          <cell r="A131" t="str">
            <v>Electricidad y Agua</v>
          </cell>
          <cell r="B131" t="str">
            <v>F</v>
          </cell>
          <cell r="C131" t="str">
            <v>0. TOTAL</v>
          </cell>
          <cell r="D131">
            <v>7903</v>
          </cell>
          <cell r="E131">
            <v>523442815.5</v>
          </cell>
        </row>
        <row r="132">
          <cell r="A132" t="str">
            <v>Electricidad y Agua</v>
          </cell>
          <cell r="B132" t="str">
            <v>F</v>
          </cell>
          <cell r="C132" t="str">
            <v>1.Hasta 24</v>
          </cell>
          <cell r="D132">
            <v>321</v>
          </cell>
          <cell r="E132">
            <v>12185430.380000001</v>
          </cell>
        </row>
        <row r="133">
          <cell r="A133" t="str">
            <v>Electricidad y Agua</v>
          </cell>
          <cell r="B133" t="str">
            <v>F</v>
          </cell>
          <cell r="C133" t="str">
            <v>3.25 a 29</v>
          </cell>
          <cell r="D133">
            <v>1048</v>
          </cell>
          <cell r="E133">
            <v>52485935.590000004</v>
          </cell>
        </row>
        <row r="134">
          <cell r="A134" t="str">
            <v>Electricidad y Agua</v>
          </cell>
          <cell r="B134" t="str">
            <v>F</v>
          </cell>
          <cell r="C134" t="str">
            <v>4.30 a 34</v>
          </cell>
          <cell r="D134">
            <v>1316</v>
          </cell>
          <cell r="E134">
            <v>75755936.269999996</v>
          </cell>
        </row>
        <row r="135">
          <cell r="A135" t="str">
            <v>Electricidad y Agua</v>
          </cell>
          <cell r="B135" t="str">
            <v>F</v>
          </cell>
          <cell r="C135" t="str">
            <v>5.35 a 39</v>
          </cell>
          <cell r="D135">
            <v>1362</v>
          </cell>
          <cell r="E135">
            <v>86603365.840000004</v>
          </cell>
        </row>
        <row r="136">
          <cell r="A136" t="str">
            <v>Electricidad y Agua</v>
          </cell>
          <cell r="B136" t="str">
            <v>F</v>
          </cell>
          <cell r="C136" t="str">
            <v>6.40 a 44</v>
          </cell>
          <cell r="D136">
            <v>1242</v>
          </cell>
          <cell r="E136">
            <v>89380698.480000004</v>
          </cell>
        </row>
        <row r="137">
          <cell r="A137" t="str">
            <v>Electricidad y Agua</v>
          </cell>
          <cell r="B137" t="str">
            <v>F</v>
          </cell>
          <cell r="C137" t="str">
            <v>7.45 a 49</v>
          </cell>
          <cell r="D137">
            <v>1011</v>
          </cell>
          <cell r="E137">
            <v>79671850.689999998</v>
          </cell>
        </row>
        <row r="138">
          <cell r="A138" t="str">
            <v>Electricidad y Agua</v>
          </cell>
          <cell r="B138" t="str">
            <v>F</v>
          </cell>
          <cell r="C138" t="str">
            <v>8.50 a 54</v>
          </cell>
          <cell r="D138">
            <v>735</v>
          </cell>
          <cell r="E138">
            <v>57805480.530000001</v>
          </cell>
        </row>
        <row r="139">
          <cell r="A139" t="str">
            <v>Electricidad y Agua</v>
          </cell>
          <cell r="B139" t="str">
            <v>F</v>
          </cell>
          <cell r="C139" t="str">
            <v>9.55 a 59</v>
          </cell>
          <cell r="D139">
            <v>585</v>
          </cell>
          <cell r="E139">
            <v>46034462.109999999</v>
          </cell>
        </row>
        <row r="140">
          <cell r="A140" t="str">
            <v>Electricidad y Agua</v>
          </cell>
          <cell r="B140" t="str">
            <v>F</v>
          </cell>
          <cell r="C140" t="str">
            <v>A.60 a 64</v>
          </cell>
          <cell r="D140">
            <v>188</v>
          </cell>
          <cell r="E140">
            <v>17084569.440000001</v>
          </cell>
        </row>
        <row r="141">
          <cell r="A141" t="str">
            <v>Electricidad y Agua</v>
          </cell>
          <cell r="B141" t="str">
            <v>F</v>
          </cell>
          <cell r="C141" t="str">
            <v>B.65 y más</v>
          </cell>
          <cell r="D141">
            <v>74</v>
          </cell>
          <cell r="E141">
            <v>5376699.5700000003</v>
          </cell>
        </row>
        <row r="142">
          <cell r="A142" t="str">
            <v>Electricidad y Agua</v>
          </cell>
          <cell r="B142" t="str">
            <v>F</v>
          </cell>
          <cell r="C142" t="str">
            <v>X.No Informada</v>
          </cell>
          <cell r="D142">
            <v>21</v>
          </cell>
          <cell r="E142">
            <v>1058386.6000000001</v>
          </cell>
        </row>
        <row r="143">
          <cell r="A143" t="str">
            <v>Electricidad y Agua</v>
          </cell>
          <cell r="B143" t="str">
            <v>M</v>
          </cell>
          <cell r="C143" t="str">
            <v>0. TOTAL</v>
          </cell>
          <cell r="D143">
            <v>54077</v>
          </cell>
          <cell r="E143">
            <v>3837151302.6700001</v>
          </cell>
        </row>
        <row r="144">
          <cell r="A144" t="str">
            <v>Electricidad y Agua</v>
          </cell>
          <cell r="B144" t="str">
            <v>M</v>
          </cell>
          <cell r="C144" t="str">
            <v>1.Hasta 24</v>
          </cell>
          <cell r="D144">
            <v>3283</v>
          </cell>
          <cell r="E144">
            <v>141649725.03999999</v>
          </cell>
        </row>
        <row r="145">
          <cell r="A145" t="str">
            <v>Electricidad y Agua</v>
          </cell>
          <cell r="B145" t="str">
            <v>M</v>
          </cell>
          <cell r="C145" t="str">
            <v>3.25 a 29</v>
          </cell>
          <cell r="D145">
            <v>6272</v>
          </cell>
          <cell r="E145">
            <v>331545640.69</v>
          </cell>
        </row>
        <row r="146">
          <cell r="A146" t="str">
            <v>Electricidad y Agua</v>
          </cell>
          <cell r="B146" t="str">
            <v>M</v>
          </cell>
          <cell r="C146" t="str">
            <v>4.30 a 34</v>
          </cell>
          <cell r="D146">
            <v>7961</v>
          </cell>
          <cell r="E146">
            <v>494275302.25999999</v>
          </cell>
        </row>
        <row r="147">
          <cell r="A147" t="str">
            <v>Electricidad y Agua</v>
          </cell>
          <cell r="B147" t="str">
            <v>M</v>
          </cell>
          <cell r="C147" t="str">
            <v>5.35 a 39</v>
          </cell>
          <cell r="D147">
            <v>8252</v>
          </cell>
          <cell r="E147">
            <v>570586655.66999996</v>
          </cell>
        </row>
        <row r="148">
          <cell r="A148" t="str">
            <v>Electricidad y Agua</v>
          </cell>
          <cell r="B148" t="str">
            <v>M</v>
          </cell>
          <cell r="C148" t="str">
            <v>6.40 a 44</v>
          </cell>
          <cell r="D148">
            <v>8129</v>
          </cell>
          <cell r="E148">
            <v>601392176.51999998</v>
          </cell>
        </row>
        <row r="149">
          <cell r="A149" t="str">
            <v>Electricidad y Agua</v>
          </cell>
          <cell r="B149" t="str">
            <v>M</v>
          </cell>
          <cell r="C149" t="str">
            <v>7.45 a 49</v>
          </cell>
          <cell r="D149">
            <v>6776</v>
          </cell>
          <cell r="E149">
            <v>537043221.65999997</v>
          </cell>
        </row>
        <row r="150">
          <cell r="A150" t="str">
            <v>Electricidad y Agua</v>
          </cell>
          <cell r="B150" t="str">
            <v>M</v>
          </cell>
          <cell r="C150" t="str">
            <v>8.50 a 54</v>
          </cell>
          <cell r="D150">
            <v>5433</v>
          </cell>
          <cell r="E150">
            <v>441944052.43000001</v>
          </cell>
        </row>
        <row r="151">
          <cell r="A151" t="str">
            <v>Electricidad y Agua</v>
          </cell>
          <cell r="B151" t="str">
            <v>M</v>
          </cell>
          <cell r="C151" t="str">
            <v>9.55 a 59</v>
          </cell>
          <cell r="D151">
            <v>4268</v>
          </cell>
          <cell r="E151">
            <v>368086386.87</v>
          </cell>
        </row>
        <row r="152">
          <cell r="A152" t="str">
            <v>Electricidad y Agua</v>
          </cell>
          <cell r="B152" t="str">
            <v>M</v>
          </cell>
          <cell r="C152" t="str">
            <v>A.60 a 64</v>
          </cell>
          <cell r="D152">
            <v>2853</v>
          </cell>
          <cell r="E152">
            <v>263681409.56999999</v>
          </cell>
        </row>
        <row r="153">
          <cell r="A153" t="str">
            <v>Electricidad y Agua</v>
          </cell>
          <cell r="B153" t="str">
            <v>M</v>
          </cell>
          <cell r="C153" t="str">
            <v>B.65 y más</v>
          </cell>
          <cell r="D153">
            <v>830</v>
          </cell>
          <cell r="E153">
            <v>85039956.010000005</v>
          </cell>
        </row>
        <row r="154">
          <cell r="A154" t="str">
            <v>Electricidad y Agua</v>
          </cell>
          <cell r="B154" t="str">
            <v>M</v>
          </cell>
          <cell r="C154" t="str">
            <v>X.No Informada</v>
          </cell>
          <cell r="D154">
            <v>20</v>
          </cell>
          <cell r="E154">
            <v>1906775.95</v>
          </cell>
        </row>
        <row r="155">
          <cell r="A155" t="str">
            <v>Electricidad y Agua</v>
          </cell>
          <cell r="B155" t="str">
            <v>x</v>
          </cell>
          <cell r="C155" t="str">
            <v>0. TOTAL</v>
          </cell>
          <cell r="D155">
            <v>1</v>
          </cell>
          <cell r="E155">
            <v>34725.08</v>
          </cell>
        </row>
        <row r="156">
          <cell r="A156" t="str">
            <v>Electricidad y Agua</v>
          </cell>
          <cell r="B156" t="str">
            <v>x</v>
          </cell>
          <cell r="C156" t="str">
            <v>X.No Informada</v>
          </cell>
          <cell r="D156">
            <v>1</v>
          </cell>
          <cell r="E156">
            <v>34725.08</v>
          </cell>
        </row>
        <row r="157">
          <cell r="A157" t="str">
            <v>Electricidad y Agua</v>
          </cell>
          <cell r="B157" t="str">
            <v>z</v>
          </cell>
          <cell r="C157" t="str">
            <v>0. TOTAL</v>
          </cell>
          <cell r="D157">
            <v>61981</v>
          </cell>
          <cell r="E157">
            <v>4360628843.25</v>
          </cell>
        </row>
        <row r="158">
          <cell r="A158" t="str">
            <v>Electricidad y Agua</v>
          </cell>
          <cell r="B158" t="str">
            <v>z</v>
          </cell>
          <cell r="C158" t="str">
            <v>1.Hasta 24</v>
          </cell>
          <cell r="D158">
            <v>3604</v>
          </cell>
          <cell r="E158">
            <v>153835155.41999999</v>
          </cell>
        </row>
        <row r="159">
          <cell r="A159" t="str">
            <v>Electricidad y Agua</v>
          </cell>
          <cell r="B159" t="str">
            <v>z</v>
          </cell>
          <cell r="C159" t="str">
            <v>3.25 a 29</v>
          </cell>
          <cell r="D159">
            <v>7320</v>
          </cell>
          <cell r="E159">
            <v>384031576.27999997</v>
          </cell>
        </row>
        <row r="160">
          <cell r="A160" t="str">
            <v>Electricidad y Agua</v>
          </cell>
          <cell r="B160" t="str">
            <v>z</v>
          </cell>
          <cell r="C160" t="str">
            <v>4.30 a 34</v>
          </cell>
          <cell r="D160">
            <v>9277</v>
          </cell>
          <cell r="E160">
            <v>570031238.52999997</v>
          </cell>
        </row>
        <row r="161">
          <cell r="A161" t="str">
            <v>Electricidad y Agua</v>
          </cell>
          <cell r="B161" t="str">
            <v>z</v>
          </cell>
          <cell r="C161" t="str">
            <v>5.35 a 39</v>
          </cell>
          <cell r="D161">
            <v>9614</v>
          </cell>
          <cell r="E161">
            <v>657190021.50999999</v>
          </cell>
        </row>
        <row r="162">
          <cell r="A162" t="str">
            <v>Electricidad y Agua</v>
          </cell>
          <cell r="B162" t="str">
            <v>z</v>
          </cell>
          <cell r="C162" t="str">
            <v>6.40 a 44</v>
          </cell>
          <cell r="D162">
            <v>9371</v>
          </cell>
          <cell r="E162">
            <v>690772875</v>
          </cell>
        </row>
        <row r="163">
          <cell r="A163" t="str">
            <v>Electricidad y Agua</v>
          </cell>
          <cell r="B163" t="str">
            <v>z</v>
          </cell>
          <cell r="C163" t="str">
            <v>7.45 a 49</v>
          </cell>
          <cell r="D163">
            <v>7787</v>
          </cell>
          <cell r="E163">
            <v>616715072.35000002</v>
          </cell>
        </row>
        <row r="164">
          <cell r="A164" t="str">
            <v>Electricidad y Agua</v>
          </cell>
          <cell r="B164" t="str">
            <v>z</v>
          </cell>
          <cell r="C164" t="str">
            <v>8.50 a 54</v>
          </cell>
          <cell r="D164">
            <v>6168</v>
          </cell>
          <cell r="E164">
            <v>499749532.95999998</v>
          </cell>
        </row>
        <row r="165">
          <cell r="A165" t="str">
            <v>Electricidad y Agua</v>
          </cell>
          <cell r="B165" t="str">
            <v>z</v>
          </cell>
          <cell r="C165" t="str">
            <v>9.55 a 59</v>
          </cell>
          <cell r="D165">
            <v>4853</v>
          </cell>
          <cell r="E165">
            <v>414120848.98000002</v>
          </cell>
        </row>
        <row r="166">
          <cell r="A166" t="str">
            <v>Electricidad y Agua</v>
          </cell>
          <cell r="B166" t="str">
            <v>z</v>
          </cell>
          <cell r="C166" t="str">
            <v>A.60 a 64</v>
          </cell>
          <cell r="D166">
            <v>3041</v>
          </cell>
          <cell r="E166">
            <v>280765979.00999999</v>
          </cell>
        </row>
        <row r="167">
          <cell r="A167" t="str">
            <v>Electricidad y Agua</v>
          </cell>
          <cell r="B167" t="str">
            <v>z</v>
          </cell>
          <cell r="C167" t="str">
            <v>B.65 y más</v>
          </cell>
          <cell r="D167">
            <v>904</v>
          </cell>
          <cell r="E167">
            <v>90416655.579999998</v>
          </cell>
        </row>
        <row r="168">
          <cell r="A168" t="str">
            <v>Electricidad y Agua</v>
          </cell>
          <cell r="B168" t="str">
            <v>z</v>
          </cell>
          <cell r="C168" t="str">
            <v>X.No Informada</v>
          </cell>
          <cell r="D168">
            <v>42</v>
          </cell>
          <cell r="E168">
            <v>2999887.63</v>
          </cell>
        </row>
        <row r="169">
          <cell r="A169" t="str">
            <v>Construcción</v>
          </cell>
          <cell r="B169" t="str">
            <v>F</v>
          </cell>
          <cell r="C169" t="str">
            <v>0. TOTAL</v>
          </cell>
          <cell r="D169">
            <v>23835</v>
          </cell>
          <cell r="E169">
            <v>1086160063.3099999</v>
          </cell>
        </row>
        <row r="170">
          <cell r="A170" t="str">
            <v>Construcción</v>
          </cell>
          <cell r="B170" t="str">
            <v>F</v>
          </cell>
          <cell r="C170" t="str">
            <v>1.Hasta 24</v>
          </cell>
          <cell r="D170">
            <v>1818</v>
          </cell>
          <cell r="E170">
            <v>51762316.149999999</v>
          </cell>
        </row>
        <row r="171">
          <cell r="A171" t="str">
            <v>Construcción</v>
          </cell>
          <cell r="B171" t="str">
            <v>F</v>
          </cell>
          <cell r="C171" t="str">
            <v>3.25 a 29</v>
          </cell>
          <cell r="D171">
            <v>4366</v>
          </cell>
          <cell r="E171">
            <v>175796653.96000001</v>
          </cell>
        </row>
        <row r="172">
          <cell r="A172" t="str">
            <v>Construcción</v>
          </cell>
          <cell r="B172" t="str">
            <v>F</v>
          </cell>
          <cell r="C172" t="str">
            <v>4.30 a 34</v>
          </cell>
          <cell r="D172">
            <v>4631</v>
          </cell>
          <cell r="E172">
            <v>211941596.05000001</v>
          </cell>
        </row>
        <row r="173">
          <cell r="A173" t="str">
            <v>Construcción</v>
          </cell>
          <cell r="B173" t="str">
            <v>F</v>
          </cell>
          <cell r="C173" t="str">
            <v>5.35 a 39</v>
          </cell>
          <cell r="D173">
            <v>4000</v>
          </cell>
          <cell r="E173">
            <v>197165913.00999999</v>
          </cell>
        </row>
        <row r="174">
          <cell r="A174" t="str">
            <v>Construcción</v>
          </cell>
          <cell r="B174" t="str">
            <v>F</v>
          </cell>
          <cell r="C174" t="str">
            <v>6.40 a 44</v>
          </cell>
          <cell r="D174">
            <v>3400</v>
          </cell>
          <cell r="E174">
            <v>169980699.90000001</v>
          </cell>
        </row>
        <row r="175">
          <cell r="A175" t="str">
            <v>Construcción</v>
          </cell>
          <cell r="B175" t="str">
            <v>F</v>
          </cell>
          <cell r="C175" t="str">
            <v>7.45 a 49</v>
          </cell>
          <cell r="D175">
            <v>2193</v>
          </cell>
          <cell r="E175">
            <v>110326406.73</v>
          </cell>
        </row>
        <row r="176">
          <cell r="A176" t="str">
            <v>Construcción</v>
          </cell>
          <cell r="B176" t="str">
            <v>F</v>
          </cell>
          <cell r="C176" t="str">
            <v>8.50 a 54</v>
          </cell>
          <cell r="D176">
            <v>1533</v>
          </cell>
          <cell r="E176">
            <v>75553473.879999995</v>
          </cell>
        </row>
        <row r="177">
          <cell r="A177" t="str">
            <v>Construcción</v>
          </cell>
          <cell r="B177" t="str">
            <v>F</v>
          </cell>
          <cell r="C177" t="str">
            <v>9.55 a 59</v>
          </cell>
          <cell r="D177">
            <v>1107</v>
          </cell>
          <cell r="E177">
            <v>54773180.780000001</v>
          </cell>
        </row>
        <row r="178">
          <cell r="A178" t="str">
            <v>Construcción</v>
          </cell>
          <cell r="B178" t="str">
            <v>F</v>
          </cell>
          <cell r="C178" t="str">
            <v>A.60 a 64</v>
          </cell>
          <cell r="D178">
            <v>466</v>
          </cell>
          <cell r="E178">
            <v>24349926.210000001</v>
          </cell>
        </row>
        <row r="179">
          <cell r="A179" t="str">
            <v>Construcción</v>
          </cell>
          <cell r="B179" t="str">
            <v>F</v>
          </cell>
          <cell r="C179" t="str">
            <v>B.65 y más</v>
          </cell>
          <cell r="D179">
            <v>243</v>
          </cell>
          <cell r="E179">
            <v>11517918.199999999</v>
          </cell>
        </row>
        <row r="180">
          <cell r="A180" t="str">
            <v>Construcción</v>
          </cell>
          <cell r="B180" t="str">
            <v>F</v>
          </cell>
          <cell r="C180" t="str">
            <v>X.No Informada</v>
          </cell>
          <cell r="D180">
            <v>78</v>
          </cell>
          <cell r="E180">
            <v>2991978.44</v>
          </cell>
        </row>
        <row r="181">
          <cell r="A181" t="str">
            <v>Construcción</v>
          </cell>
          <cell r="B181" t="str">
            <v>M</v>
          </cell>
          <cell r="C181" t="str">
            <v>0. TOTAL</v>
          </cell>
          <cell r="D181">
            <v>377148</v>
          </cell>
          <cell r="E181">
            <v>14190835867.530001</v>
          </cell>
        </row>
        <row r="182">
          <cell r="A182" t="str">
            <v>Construcción</v>
          </cell>
          <cell r="B182" t="str">
            <v>M</v>
          </cell>
          <cell r="C182" t="str">
            <v>1.Hasta 24</v>
          </cell>
          <cell r="D182">
            <v>48402</v>
          </cell>
          <cell r="E182">
            <v>1204868854.1400001</v>
          </cell>
        </row>
        <row r="183">
          <cell r="A183" t="str">
            <v>Construcción</v>
          </cell>
          <cell r="B183" t="str">
            <v>M</v>
          </cell>
          <cell r="C183" t="str">
            <v>3.25 a 29</v>
          </cell>
          <cell r="D183">
            <v>62656</v>
          </cell>
          <cell r="E183">
            <v>1930295105.95</v>
          </cell>
        </row>
        <row r="184">
          <cell r="A184" t="str">
            <v>Construcción</v>
          </cell>
          <cell r="B184" t="str">
            <v>M</v>
          </cell>
          <cell r="C184" t="str">
            <v>4.30 a 34</v>
          </cell>
          <cell r="D184">
            <v>63910</v>
          </cell>
          <cell r="E184">
            <v>2294734855.25</v>
          </cell>
        </row>
        <row r="185">
          <cell r="A185" t="str">
            <v>Construcción</v>
          </cell>
          <cell r="B185" t="str">
            <v>M</v>
          </cell>
          <cell r="C185" t="str">
            <v>5.35 a 39</v>
          </cell>
          <cell r="D185">
            <v>58969</v>
          </cell>
          <cell r="E185">
            <v>2317083952.6599998</v>
          </cell>
        </row>
        <row r="186">
          <cell r="A186" t="str">
            <v>Construcción</v>
          </cell>
          <cell r="B186" t="str">
            <v>M</v>
          </cell>
          <cell r="C186" t="str">
            <v>6.40 a 44</v>
          </cell>
          <cell r="D186">
            <v>50274</v>
          </cell>
          <cell r="E186">
            <v>2129489869.6400001</v>
          </cell>
        </row>
        <row r="187">
          <cell r="A187" t="str">
            <v>Construcción</v>
          </cell>
          <cell r="B187" t="str">
            <v>M</v>
          </cell>
          <cell r="C187" t="str">
            <v>7.45 a 49</v>
          </cell>
          <cell r="D187">
            <v>36624</v>
          </cell>
          <cell r="E187">
            <v>1607172843.3800001</v>
          </cell>
        </row>
        <row r="188">
          <cell r="A188" t="str">
            <v>Construcción</v>
          </cell>
          <cell r="B188" t="str">
            <v>M</v>
          </cell>
          <cell r="C188" t="str">
            <v>8.50 a 54</v>
          </cell>
          <cell r="D188">
            <v>25589</v>
          </cell>
          <cell r="E188">
            <v>1163211884.1099999</v>
          </cell>
        </row>
        <row r="189">
          <cell r="A189" t="str">
            <v>Construcción</v>
          </cell>
          <cell r="B189" t="str">
            <v>M</v>
          </cell>
          <cell r="C189" t="str">
            <v>9.55 a 59</v>
          </cell>
          <cell r="D189">
            <v>16850</v>
          </cell>
          <cell r="E189">
            <v>799046155.53999996</v>
          </cell>
        </row>
        <row r="190">
          <cell r="A190" t="str">
            <v>Construcción</v>
          </cell>
          <cell r="B190" t="str">
            <v>M</v>
          </cell>
          <cell r="C190" t="str">
            <v>A.60 a 64</v>
          </cell>
          <cell r="D190">
            <v>9601</v>
          </cell>
          <cell r="E190">
            <v>502839464.76999998</v>
          </cell>
        </row>
        <row r="191">
          <cell r="A191" t="str">
            <v>Construcción</v>
          </cell>
          <cell r="B191" t="str">
            <v>M</v>
          </cell>
          <cell r="C191" t="str">
            <v>B.65 y más</v>
          </cell>
          <cell r="D191">
            <v>4188</v>
          </cell>
          <cell r="E191">
            <v>237872477.97</v>
          </cell>
        </row>
        <row r="192">
          <cell r="A192" t="str">
            <v>Construcción</v>
          </cell>
          <cell r="B192" t="str">
            <v>M</v>
          </cell>
          <cell r="C192" t="str">
            <v>X.No Informada</v>
          </cell>
          <cell r="D192">
            <v>85</v>
          </cell>
          <cell r="E192">
            <v>4220404.12</v>
          </cell>
        </row>
        <row r="193">
          <cell r="A193" t="str">
            <v>Construcción</v>
          </cell>
          <cell r="B193" t="str">
            <v>x</v>
          </cell>
          <cell r="C193" t="str">
            <v>0. TOTAL</v>
          </cell>
          <cell r="D193">
            <v>90</v>
          </cell>
          <cell r="E193">
            <v>1408669.31</v>
          </cell>
        </row>
        <row r="194">
          <cell r="A194" t="str">
            <v>Construcción</v>
          </cell>
          <cell r="B194" t="str">
            <v>x</v>
          </cell>
          <cell r="C194" t="str">
            <v>3.25 a 29</v>
          </cell>
          <cell r="D194">
            <v>2</v>
          </cell>
          <cell r="E194">
            <v>71381.36</v>
          </cell>
        </row>
        <row r="195">
          <cell r="A195" t="str">
            <v>Construcción</v>
          </cell>
          <cell r="B195" t="str">
            <v>x</v>
          </cell>
          <cell r="C195" t="str">
            <v>4.30 a 34</v>
          </cell>
          <cell r="D195">
            <v>1</v>
          </cell>
          <cell r="E195">
            <v>13964.08</v>
          </cell>
        </row>
        <row r="196">
          <cell r="A196" t="str">
            <v>Construcción</v>
          </cell>
          <cell r="B196" t="str">
            <v>x</v>
          </cell>
          <cell r="C196" t="str">
            <v>6.40 a 44</v>
          </cell>
          <cell r="D196">
            <v>2</v>
          </cell>
          <cell r="E196">
            <v>34460.33</v>
          </cell>
        </row>
        <row r="197">
          <cell r="A197" t="str">
            <v>Construcción</v>
          </cell>
          <cell r="B197" t="str">
            <v>x</v>
          </cell>
          <cell r="C197" t="str">
            <v>7.45 a 49</v>
          </cell>
          <cell r="D197">
            <v>1</v>
          </cell>
          <cell r="E197">
            <v>15228.48</v>
          </cell>
        </row>
        <row r="198">
          <cell r="A198" t="str">
            <v>Construcción</v>
          </cell>
          <cell r="B198" t="str">
            <v>x</v>
          </cell>
          <cell r="C198" t="str">
            <v>8.50 a 54</v>
          </cell>
          <cell r="D198">
            <v>4</v>
          </cell>
          <cell r="E198">
            <v>205038.91</v>
          </cell>
        </row>
        <row r="199">
          <cell r="A199" t="str">
            <v>Construcción</v>
          </cell>
          <cell r="B199" t="str">
            <v>x</v>
          </cell>
          <cell r="C199" t="str">
            <v>9.55 a 59</v>
          </cell>
          <cell r="D199">
            <v>1</v>
          </cell>
          <cell r="E199">
            <v>48287.9</v>
          </cell>
        </row>
        <row r="200">
          <cell r="A200" t="str">
            <v>Construcción</v>
          </cell>
          <cell r="B200" t="str">
            <v>x</v>
          </cell>
          <cell r="C200" t="str">
            <v>X.No Informada</v>
          </cell>
          <cell r="D200">
            <v>79</v>
          </cell>
          <cell r="E200">
            <v>1020308.25</v>
          </cell>
        </row>
        <row r="201">
          <cell r="A201" t="str">
            <v>Construcción</v>
          </cell>
          <cell r="B201" t="str">
            <v>z</v>
          </cell>
          <cell r="C201" t="str">
            <v>0. TOTAL</v>
          </cell>
          <cell r="D201">
            <v>401073</v>
          </cell>
          <cell r="E201">
            <v>15278404600.15</v>
          </cell>
        </row>
        <row r="202">
          <cell r="A202" t="str">
            <v>Construcción</v>
          </cell>
          <cell r="B202" t="str">
            <v>z</v>
          </cell>
          <cell r="C202" t="str">
            <v>1.Hasta 24</v>
          </cell>
          <cell r="D202">
            <v>50220</v>
          </cell>
          <cell r="E202">
            <v>1256631170.29</v>
          </cell>
        </row>
        <row r="203">
          <cell r="A203" t="str">
            <v>Construcción</v>
          </cell>
          <cell r="B203" t="str">
            <v>z</v>
          </cell>
          <cell r="C203" t="str">
            <v>3.25 a 29</v>
          </cell>
          <cell r="D203">
            <v>67024</v>
          </cell>
          <cell r="E203">
            <v>2106163141.27</v>
          </cell>
        </row>
        <row r="204">
          <cell r="A204" t="str">
            <v>Construcción</v>
          </cell>
          <cell r="B204" t="str">
            <v>z</v>
          </cell>
          <cell r="C204" t="str">
            <v>4.30 a 34</v>
          </cell>
          <cell r="D204">
            <v>68542</v>
          </cell>
          <cell r="E204">
            <v>2506690415.3800001</v>
          </cell>
        </row>
        <row r="205">
          <cell r="A205" t="str">
            <v>Construcción</v>
          </cell>
          <cell r="B205" t="str">
            <v>z</v>
          </cell>
          <cell r="C205" t="str">
            <v>5.35 a 39</v>
          </cell>
          <cell r="D205">
            <v>62969</v>
          </cell>
          <cell r="E205">
            <v>2514249865.6700001</v>
          </cell>
        </row>
        <row r="206">
          <cell r="A206" t="str">
            <v>Construcción</v>
          </cell>
          <cell r="B206" t="str">
            <v>z</v>
          </cell>
          <cell r="C206" t="str">
            <v>6.40 a 44</v>
          </cell>
          <cell r="D206">
            <v>53676</v>
          </cell>
          <cell r="E206">
            <v>2299505029.8699999</v>
          </cell>
        </row>
        <row r="207">
          <cell r="A207" t="str">
            <v>Construcción</v>
          </cell>
          <cell r="B207" t="str">
            <v>z</v>
          </cell>
          <cell r="C207" t="str">
            <v>7.45 a 49</v>
          </cell>
          <cell r="D207">
            <v>38818</v>
          </cell>
          <cell r="E207">
            <v>1717514478.5899999</v>
          </cell>
        </row>
        <row r="208">
          <cell r="A208" t="str">
            <v>Construcción</v>
          </cell>
          <cell r="B208" t="str">
            <v>z</v>
          </cell>
          <cell r="C208" t="str">
            <v>8.50 a 54</v>
          </cell>
          <cell r="D208">
            <v>27126</v>
          </cell>
          <cell r="E208">
            <v>1238970396.9000001</v>
          </cell>
        </row>
        <row r="209">
          <cell r="A209" t="str">
            <v>Construcción</v>
          </cell>
          <cell r="B209" t="str">
            <v>z</v>
          </cell>
          <cell r="C209" t="str">
            <v>9.55 a 59</v>
          </cell>
          <cell r="D209">
            <v>17958</v>
          </cell>
          <cell r="E209">
            <v>853867624.22000003</v>
          </cell>
        </row>
        <row r="210">
          <cell r="A210" t="str">
            <v>Construcción</v>
          </cell>
          <cell r="B210" t="str">
            <v>z</v>
          </cell>
          <cell r="C210" t="str">
            <v>A.60 a 64</v>
          </cell>
          <cell r="D210">
            <v>10067</v>
          </cell>
          <cell r="E210">
            <v>527189390.98000002</v>
          </cell>
        </row>
        <row r="211">
          <cell r="A211" t="str">
            <v>Construcción</v>
          </cell>
          <cell r="B211" t="str">
            <v>z</v>
          </cell>
          <cell r="C211" t="str">
            <v>B.65 y más</v>
          </cell>
          <cell r="D211">
            <v>4431</v>
          </cell>
          <cell r="E211">
            <v>249390396.16999999</v>
          </cell>
        </row>
        <row r="212">
          <cell r="A212" t="str">
            <v>Construcción</v>
          </cell>
          <cell r="B212" t="str">
            <v>z</v>
          </cell>
          <cell r="C212" t="str">
            <v>X.No Informada</v>
          </cell>
          <cell r="D212">
            <v>242</v>
          </cell>
          <cell r="E212">
            <v>8232690.8099999996</v>
          </cell>
        </row>
        <row r="213">
          <cell r="A213" t="str">
            <v>Comercio</v>
          </cell>
          <cell r="B213" t="str">
            <v>F</v>
          </cell>
          <cell r="C213" t="str">
            <v>0. TOTAL</v>
          </cell>
          <cell r="D213">
            <v>378694</v>
          </cell>
          <cell r="E213">
            <v>14115373924.24</v>
          </cell>
        </row>
        <row r="214">
          <cell r="A214" t="str">
            <v>Comercio</v>
          </cell>
          <cell r="B214" t="str">
            <v>F</v>
          </cell>
          <cell r="C214" t="str">
            <v>1.Hasta 24</v>
          </cell>
          <cell r="D214">
            <v>43258</v>
          </cell>
          <cell r="E214">
            <v>1078604824.3699999</v>
          </cell>
        </row>
        <row r="215">
          <cell r="A215" t="str">
            <v>Comercio</v>
          </cell>
          <cell r="B215" t="str">
            <v>F</v>
          </cell>
          <cell r="C215" t="str">
            <v>3.25 a 29</v>
          </cell>
          <cell r="D215">
            <v>70875</v>
          </cell>
          <cell r="E215">
            <v>2219184723.6100001</v>
          </cell>
        </row>
        <row r="216">
          <cell r="A216" t="str">
            <v>Comercio</v>
          </cell>
          <cell r="B216" t="str">
            <v>F</v>
          </cell>
          <cell r="C216" t="str">
            <v>4.30 a 34</v>
          </cell>
          <cell r="D216">
            <v>70962</v>
          </cell>
          <cell r="E216">
            <v>2594049734.1900001</v>
          </cell>
        </row>
        <row r="217">
          <cell r="A217" t="str">
            <v>Comercio</v>
          </cell>
          <cell r="B217" t="str">
            <v>F</v>
          </cell>
          <cell r="C217" t="str">
            <v>5.35 a 39</v>
          </cell>
          <cell r="D217">
            <v>60343</v>
          </cell>
          <cell r="E217">
            <v>2427350449.0599999</v>
          </cell>
        </row>
        <row r="218">
          <cell r="A218" t="str">
            <v>Comercio</v>
          </cell>
          <cell r="B218" t="str">
            <v>F</v>
          </cell>
          <cell r="C218" t="str">
            <v>6.40 a 44</v>
          </cell>
          <cell r="D218">
            <v>51394</v>
          </cell>
          <cell r="E218">
            <v>2194791814.8299999</v>
          </cell>
        </row>
        <row r="219">
          <cell r="A219" t="str">
            <v>Comercio</v>
          </cell>
          <cell r="B219" t="str">
            <v>F</v>
          </cell>
          <cell r="C219" t="str">
            <v>7.45 a 49</v>
          </cell>
          <cell r="D219">
            <v>34045</v>
          </cell>
          <cell r="E219">
            <v>1532819398.9200001</v>
          </cell>
        </row>
        <row r="220">
          <cell r="A220" t="str">
            <v>Comercio</v>
          </cell>
          <cell r="B220" t="str">
            <v>F</v>
          </cell>
          <cell r="C220" t="str">
            <v>8.50 a 54</v>
          </cell>
          <cell r="D220">
            <v>21281</v>
          </cell>
          <cell r="E220">
            <v>949405572.97000003</v>
          </cell>
        </row>
        <row r="221">
          <cell r="A221" t="str">
            <v>Comercio</v>
          </cell>
          <cell r="B221" t="str">
            <v>F</v>
          </cell>
          <cell r="C221" t="str">
            <v>9.55 a 59</v>
          </cell>
          <cell r="D221">
            <v>15776</v>
          </cell>
          <cell r="E221">
            <v>699633647.16999996</v>
          </cell>
        </row>
        <row r="222">
          <cell r="A222" t="str">
            <v>Comercio</v>
          </cell>
          <cell r="B222" t="str">
            <v>F</v>
          </cell>
          <cell r="C222" t="str">
            <v>A.60 a 64</v>
          </cell>
          <cell r="D222">
            <v>5881</v>
          </cell>
          <cell r="E222">
            <v>248725743.75</v>
          </cell>
        </row>
        <row r="223">
          <cell r="A223" t="str">
            <v>Comercio</v>
          </cell>
          <cell r="B223" t="str">
            <v>F</v>
          </cell>
          <cell r="C223" t="str">
            <v>B.65 y más</v>
          </cell>
          <cell r="D223">
            <v>3371</v>
          </cell>
          <cell r="E223">
            <v>118509901.56</v>
          </cell>
        </row>
        <row r="224">
          <cell r="A224" t="str">
            <v>Comercio</v>
          </cell>
          <cell r="B224" t="str">
            <v>F</v>
          </cell>
          <cell r="C224" t="str">
            <v>X.No Informada</v>
          </cell>
          <cell r="D224">
            <v>1508</v>
          </cell>
          <cell r="E224">
            <v>52298113.810000002</v>
          </cell>
        </row>
        <row r="225">
          <cell r="A225" t="str">
            <v>Comercio</v>
          </cell>
          <cell r="B225" t="str">
            <v>M</v>
          </cell>
          <cell r="C225" t="str">
            <v>0. TOTAL</v>
          </cell>
          <cell r="D225">
            <v>689167</v>
          </cell>
          <cell r="E225">
            <v>30468590501.549999</v>
          </cell>
        </row>
        <row r="226">
          <cell r="A226" t="str">
            <v>Comercio</v>
          </cell>
          <cell r="B226" t="str">
            <v>M</v>
          </cell>
          <cell r="C226" t="str">
            <v>1.Hasta 24</v>
          </cell>
          <cell r="D226">
            <v>73217</v>
          </cell>
          <cell r="E226">
            <v>2156604967.46</v>
          </cell>
        </row>
        <row r="227">
          <cell r="A227" t="str">
            <v>Comercio</v>
          </cell>
          <cell r="B227" t="str">
            <v>M</v>
          </cell>
          <cell r="C227" t="str">
            <v>3.25 a 29</v>
          </cell>
          <cell r="D227">
            <v>116465</v>
          </cell>
          <cell r="E227">
            <v>4151243951.3400002</v>
          </cell>
        </row>
        <row r="228">
          <cell r="A228" t="str">
            <v>Comercio</v>
          </cell>
          <cell r="B228" t="str">
            <v>M</v>
          </cell>
          <cell r="C228" t="str">
            <v>4.30 a 34</v>
          </cell>
          <cell r="D228">
            <v>119606</v>
          </cell>
          <cell r="E228">
            <v>4939912543.2200003</v>
          </cell>
        </row>
        <row r="229">
          <cell r="A229" t="str">
            <v>Comercio</v>
          </cell>
          <cell r="B229" t="str">
            <v>M</v>
          </cell>
          <cell r="C229" t="str">
            <v>5.35 a 39</v>
          </cell>
          <cell r="D229">
            <v>108353</v>
          </cell>
          <cell r="E229">
            <v>4977470762.8400002</v>
          </cell>
        </row>
        <row r="230">
          <cell r="A230" t="str">
            <v>Comercio</v>
          </cell>
          <cell r="B230" t="str">
            <v>M</v>
          </cell>
          <cell r="C230" t="str">
            <v>6.40 a 44</v>
          </cell>
          <cell r="D230">
            <v>94299</v>
          </cell>
          <cell r="E230">
            <v>4735893678.6199999</v>
          </cell>
        </row>
        <row r="231">
          <cell r="A231" t="str">
            <v>Comercio</v>
          </cell>
          <cell r="B231" t="str">
            <v>M</v>
          </cell>
          <cell r="C231" t="str">
            <v>7.45 a 49</v>
          </cell>
          <cell r="D231">
            <v>66833</v>
          </cell>
          <cell r="E231">
            <v>3544090413.27</v>
          </cell>
        </row>
        <row r="232">
          <cell r="A232" t="str">
            <v>Comercio</v>
          </cell>
          <cell r="B232" t="str">
            <v>M</v>
          </cell>
          <cell r="C232" t="str">
            <v>8.50 a 54</v>
          </cell>
          <cell r="D232">
            <v>45349</v>
          </cell>
          <cell r="E232">
            <v>2446139658.6799998</v>
          </cell>
        </row>
        <row r="233">
          <cell r="A233" t="str">
            <v>Comercio</v>
          </cell>
          <cell r="B233" t="str">
            <v>M</v>
          </cell>
          <cell r="C233" t="str">
            <v>9.55 a 59</v>
          </cell>
          <cell r="D233">
            <v>32428</v>
          </cell>
          <cell r="E233">
            <v>1776045934.7</v>
          </cell>
        </row>
        <row r="234">
          <cell r="A234" t="str">
            <v>Comercio</v>
          </cell>
          <cell r="B234" t="str">
            <v>M</v>
          </cell>
          <cell r="C234" t="str">
            <v>A.60 a 64</v>
          </cell>
          <cell r="D234">
            <v>22359</v>
          </cell>
          <cell r="E234">
            <v>1234929627.8099999</v>
          </cell>
        </row>
        <row r="235">
          <cell r="A235" t="str">
            <v>Comercio</v>
          </cell>
          <cell r="B235" t="str">
            <v>M</v>
          </cell>
          <cell r="C235" t="str">
            <v>B.65 y más</v>
          </cell>
          <cell r="D235">
            <v>9929</v>
          </cell>
          <cell r="E235">
            <v>494078940.23000002</v>
          </cell>
        </row>
        <row r="236">
          <cell r="A236" t="str">
            <v>Comercio</v>
          </cell>
          <cell r="B236" t="str">
            <v>M</v>
          </cell>
          <cell r="C236" t="str">
            <v>X.No Informada</v>
          </cell>
          <cell r="D236">
            <v>329</v>
          </cell>
          <cell r="E236">
            <v>12180023.380000001</v>
          </cell>
        </row>
        <row r="237">
          <cell r="A237" t="str">
            <v>Comercio</v>
          </cell>
          <cell r="B237" t="str">
            <v>x</v>
          </cell>
          <cell r="C237" t="str">
            <v>0. TOTAL</v>
          </cell>
          <cell r="D237">
            <v>120</v>
          </cell>
          <cell r="E237">
            <v>2981161.94</v>
          </cell>
        </row>
        <row r="238">
          <cell r="A238" t="str">
            <v>Comercio</v>
          </cell>
          <cell r="B238" t="str">
            <v>x</v>
          </cell>
          <cell r="C238" t="str">
            <v>3.25 a 29</v>
          </cell>
          <cell r="D238">
            <v>2</v>
          </cell>
          <cell r="E238">
            <v>86595.839999999997</v>
          </cell>
        </row>
        <row r="239">
          <cell r="A239" t="str">
            <v>Comercio</v>
          </cell>
          <cell r="B239" t="str">
            <v>x</v>
          </cell>
          <cell r="C239" t="str">
            <v>4.30 a 34</v>
          </cell>
          <cell r="D239">
            <v>6</v>
          </cell>
          <cell r="E239">
            <v>197654.61</v>
          </cell>
        </row>
        <row r="240">
          <cell r="A240" t="str">
            <v>Comercio</v>
          </cell>
          <cell r="B240" t="str">
            <v>x</v>
          </cell>
          <cell r="C240" t="str">
            <v>5.35 a 39</v>
          </cell>
          <cell r="D240">
            <v>8</v>
          </cell>
          <cell r="E240">
            <v>342730.77</v>
          </cell>
        </row>
        <row r="241">
          <cell r="A241" t="str">
            <v>Comercio</v>
          </cell>
          <cell r="B241" t="str">
            <v>x</v>
          </cell>
          <cell r="C241" t="str">
            <v>6.40 a 44</v>
          </cell>
          <cell r="D241">
            <v>5</v>
          </cell>
          <cell r="E241">
            <v>233138.04</v>
          </cell>
        </row>
        <row r="242">
          <cell r="A242" t="str">
            <v>Comercio</v>
          </cell>
          <cell r="B242" t="str">
            <v>x</v>
          </cell>
          <cell r="C242" t="str">
            <v>7.45 a 49</v>
          </cell>
          <cell r="D242">
            <v>2</v>
          </cell>
          <cell r="E242">
            <v>74162.19</v>
          </cell>
        </row>
        <row r="243">
          <cell r="A243" t="str">
            <v>Comercio</v>
          </cell>
          <cell r="B243" t="str">
            <v>x</v>
          </cell>
          <cell r="C243" t="str">
            <v>8.50 a 54</v>
          </cell>
          <cell r="D243">
            <v>2</v>
          </cell>
          <cell r="E243">
            <v>32271.49</v>
          </cell>
        </row>
        <row r="244">
          <cell r="A244" t="str">
            <v>Comercio</v>
          </cell>
          <cell r="B244" t="str">
            <v>x</v>
          </cell>
          <cell r="C244" t="str">
            <v>9.55 a 59</v>
          </cell>
          <cell r="D244">
            <v>5</v>
          </cell>
          <cell r="E244">
            <v>188688.27</v>
          </cell>
        </row>
        <row r="245">
          <cell r="A245" t="str">
            <v>Comercio</v>
          </cell>
          <cell r="B245" t="str">
            <v>x</v>
          </cell>
          <cell r="C245" t="str">
            <v>A.60 a 64</v>
          </cell>
          <cell r="D245">
            <v>1</v>
          </cell>
          <cell r="E245">
            <v>18653.150000000001</v>
          </cell>
        </row>
        <row r="246">
          <cell r="A246" t="str">
            <v>Comercio</v>
          </cell>
          <cell r="B246" t="str">
            <v>x</v>
          </cell>
          <cell r="C246" t="str">
            <v>X.No Informada</v>
          </cell>
          <cell r="D246">
            <v>89</v>
          </cell>
          <cell r="E246">
            <v>1807267.58</v>
          </cell>
        </row>
        <row r="247">
          <cell r="A247" t="str">
            <v>Comercio</v>
          </cell>
          <cell r="B247" t="str">
            <v>z</v>
          </cell>
          <cell r="C247" t="str">
            <v>0. TOTAL</v>
          </cell>
          <cell r="D247">
            <v>1067981</v>
          </cell>
          <cell r="E247">
            <v>44586945587.730003</v>
          </cell>
        </row>
        <row r="248">
          <cell r="A248" t="str">
            <v>Comercio</v>
          </cell>
          <cell r="B248" t="str">
            <v>z</v>
          </cell>
          <cell r="C248" t="str">
            <v>1.Hasta 24</v>
          </cell>
          <cell r="D248">
            <v>116475</v>
          </cell>
          <cell r="E248">
            <v>3235209791.8299999</v>
          </cell>
        </row>
        <row r="249">
          <cell r="A249" t="str">
            <v>Comercio</v>
          </cell>
          <cell r="B249" t="str">
            <v>z</v>
          </cell>
          <cell r="C249" t="str">
            <v>3.25 a 29</v>
          </cell>
          <cell r="D249">
            <v>187342</v>
          </cell>
          <cell r="E249">
            <v>6370515270.79</v>
          </cell>
        </row>
        <row r="250">
          <cell r="A250" t="str">
            <v>Comercio</v>
          </cell>
          <cell r="B250" t="str">
            <v>z</v>
          </cell>
          <cell r="C250" t="str">
            <v>4.30 a 34</v>
          </cell>
          <cell r="D250">
            <v>190574</v>
          </cell>
          <cell r="E250">
            <v>7534159932.0200005</v>
          </cell>
        </row>
        <row r="251">
          <cell r="A251" t="str">
            <v>Comercio</v>
          </cell>
          <cell r="B251" t="str">
            <v>z</v>
          </cell>
          <cell r="C251" t="str">
            <v>5.35 a 39</v>
          </cell>
          <cell r="D251">
            <v>168704</v>
          </cell>
          <cell r="E251">
            <v>7405163942.6700001</v>
          </cell>
        </row>
        <row r="252">
          <cell r="A252" t="str">
            <v>Comercio</v>
          </cell>
          <cell r="B252" t="str">
            <v>z</v>
          </cell>
          <cell r="C252" t="str">
            <v>6.40 a 44</v>
          </cell>
          <cell r="D252">
            <v>145698</v>
          </cell>
          <cell r="E252">
            <v>6930918631.4899998</v>
          </cell>
        </row>
        <row r="253">
          <cell r="A253" t="str">
            <v>Comercio</v>
          </cell>
          <cell r="B253" t="str">
            <v>z</v>
          </cell>
          <cell r="C253" t="str">
            <v>7.45 a 49</v>
          </cell>
          <cell r="D253">
            <v>100880</v>
          </cell>
          <cell r="E253">
            <v>5076983974.3800001</v>
          </cell>
        </row>
        <row r="254">
          <cell r="A254" t="str">
            <v>Comercio</v>
          </cell>
          <cell r="B254" t="str">
            <v>z</v>
          </cell>
          <cell r="C254" t="str">
            <v>8.50 a 54</v>
          </cell>
          <cell r="D254">
            <v>66632</v>
          </cell>
          <cell r="E254">
            <v>3395577503.1399999</v>
          </cell>
        </row>
        <row r="255">
          <cell r="A255" t="str">
            <v>Comercio</v>
          </cell>
          <cell r="B255" t="str">
            <v>z</v>
          </cell>
          <cell r="C255" t="str">
            <v>9.55 a 59</v>
          </cell>
          <cell r="D255">
            <v>48209</v>
          </cell>
          <cell r="E255">
            <v>2475868270.1399999</v>
          </cell>
        </row>
        <row r="256">
          <cell r="A256" t="str">
            <v>Comercio</v>
          </cell>
          <cell r="B256" t="str">
            <v>z</v>
          </cell>
          <cell r="C256" t="str">
            <v>A.60 a 64</v>
          </cell>
          <cell r="D256">
            <v>28241</v>
          </cell>
          <cell r="E256">
            <v>1483674024.71</v>
          </cell>
        </row>
        <row r="257">
          <cell r="A257" t="str">
            <v>Comercio</v>
          </cell>
          <cell r="B257" t="str">
            <v>z</v>
          </cell>
          <cell r="C257" t="str">
            <v>B.65 y más</v>
          </cell>
          <cell r="D257">
            <v>13300</v>
          </cell>
          <cell r="E257">
            <v>612588841.78999996</v>
          </cell>
        </row>
        <row r="258">
          <cell r="A258" t="str">
            <v>Comercio</v>
          </cell>
          <cell r="B258" t="str">
            <v>z</v>
          </cell>
          <cell r="C258" t="str">
            <v>X.No Informada</v>
          </cell>
          <cell r="D258">
            <v>1926</v>
          </cell>
          <cell r="E258">
            <v>66285404.770000003</v>
          </cell>
        </row>
        <row r="259">
          <cell r="A259" t="str">
            <v>Transporte</v>
          </cell>
          <cell r="B259" t="str">
            <v>F</v>
          </cell>
          <cell r="C259" t="str">
            <v>0. TOTAL</v>
          </cell>
          <cell r="D259">
            <v>34565</v>
          </cell>
          <cell r="E259">
            <v>1653014998.02</v>
          </cell>
        </row>
        <row r="260">
          <cell r="A260" t="str">
            <v>Transporte</v>
          </cell>
          <cell r="B260" t="str">
            <v>F</v>
          </cell>
          <cell r="C260" t="str">
            <v>1.Hasta 24</v>
          </cell>
          <cell r="D260">
            <v>2719</v>
          </cell>
          <cell r="E260">
            <v>86990891.329999998</v>
          </cell>
        </row>
        <row r="261">
          <cell r="A261" t="str">
            <v>Transporte</v>
          </cell>
          <cell r="B261" t="str">
            <v>F</v>
          </cell>
          <cell r="C261" t="str">
            <v>3.25 a 29</v>
          </cell>
          <cell r="D261">
            <v>5360</v>
          </cell>
          <cell r="E261">
            <v>211158346.09999999</v>
          </cell>
        </row>
        <row r="262">
          <cell r="A262" t="str">
            <v>Transporte</v>
          </cell>
          <cell r="B262" t="str">
            <v>F</v>
          </cell>
          <cell r="C262" t="str">
            <v>4.30 a 34</v>
          </cell>
          <cell r="D262">
            <v>6116</v>
          </cell>
          <cell r="E262">
            <v>278320037.88</v>
          </cell>
        </row>
        <row r="263">
          <cell r="A263" t="str">
            <v>Transporte</v>
          </cell>
          <cell r="B263" t="str">
            <v>F</v>
          </cell>
          <cell r="C263" t="str">
            <v>5.35 a 39</v>
          </cell>
          <cell r="D263">
            <v>5883</v>
          </cell>
          <cell r="E263">
            <v>294882651.00999999</v>
          </cell>
        </row>
        <row r="264">
          <cell r="A264" t="str">
            <v>Transporte</v>
          </cell>
          <cell r="B264" t="str">
            <v>F</v>
          </cell>
          <cell r="C264" t="str">
            <v>6.40 a 44</v>
          </cell>
          <cell r="D264">
            <v>5217</v>
          </cell>
          <cell r="E264">
            <v>277777822.13999999</v>
          </cell>
        </row>
        <row r="265">
          <cell r="A265" t="str">
            <v>Transporte</v>
          </cell>
          <cell r="B265" t="str">
            <v>F</v>
          </cell>
          <cell r="C265" t="str">
            <v>7.45 a 49</v>
          </cell>
          <cell r="D265">
            <v>3829</v>
          </cell>
          <cell r="E265">
            <v>213392916.88999999</v>
          </cell>
        </row>
        <row r="266">
          <cell r="A266" t="str">
            <v>Transporte</v>
          </cell>
          <cell r="B266" t="str">
            <v>F</v>
          </cell>
          <cell r="C266" t="str">
            <v>8.50 a 54</v>
          </cell>
          <cell r="D266">
            <v>2301</v>
          </cell>
          <cell r="E266">
            <v>124343537.79000001</v>
          </cell>
        </row>
        <row r="267">
          <cell r="A267" t="str">
            <v>Transporte</v>
          </cell>
          <cell r="B267" t="str">
            <v>F</v>
          </cell>
          <cell r="C267" t="str">
            <v>9.55 a 59</v>
          </cell>
          <cell r="D267">
            <v>1822</v>
          </cell>
          <cell r="E267">
            <v>94543547.969999999</v>
          </cell>
        </row>
        <row r="268">
          <cell r="A268" t="str">
            <v>Transporte</v>
          </cell>
          <cell r="B268" t="str">
            <v>F</v>
          </cell>
          <cell r="C268" t="str">
            <v>A.60 a 64</v>
          </cell>
          <cell r="D268">
            <v>809</v>
          </cell>
          <cell r="E268">
            <v>48106650.020000003</v>
          </cell>
        </row>
        <row r="269">
          <cell r="A269" t="str">
            <v>Transporte</v>
          </cell>
          <cell r="B269" t="str">
            <v>F</v>
          </cell>
          <cell r="C269" t="str">
            <v>B.65 y más</v>
          </cell>
          <cell r="D269">
            <v>376</v>
          </cell>
          <cell r="E269">
            <v>18262113.100000001</v>
          </cell>
        </row>
        <row r="270">
          <cell r="A270" t="str">
            <v>Transporte</v>
          </cell>
          <cell r="B270" t="str">
            <v>F</v>
          </cell>
          <cell r="C270" t="str">
            <v>X.No Informada</v>
          </cell>
          <cell r="D270">
            <v>133</v>
          </cell>
          <cell r="E270">
            <v>5236483.79</v>
          </cell>
        </row>
        <row r="271">
          <cell r="A271" t="str">
            <v>Transporte</v>
          </cell>
          <cell r="B271" t="str">
            <v>M</v>
          </cell>
          <cell r="C271" t="str">
            <v>0. TOTAL</v>
          </cell>
          <cell r="D271">
            <v>360211</v>
          </cell>
          <cell r="E271">
            <v>18238859299.02</v>
          </cell>
        </row>
        <row r="272">
          <cell r="A272" t="str">
            <v>Transporte</v>
          </cell>
          <cell r="B272" t="str">
            <v>M</v>
          </cell>
          <cell r="C272" t="str">
            <v>1.Hasta 24</v>
          </cell>
          <cell r="D272">
            <v>16900</v>
          </cell>
          <cell r="E272">
            <v>581016950.88</v>
          </cell>
        </row>
        <row r="273">
          <cell r="A273" t="str">
            <v>Transporte</v>
          </cell>
          <cell r="B273" t="str">
            <v>M</v>
          </cell>
          <cell r="C273" t="str">
            <v>3.25 a 29</v>
          </cell>
          <cell r="D273">
            <v>39927</v>
          </cell>
          <cell r="E273">
            <v>1690137380.96</v>
          </cell>
        </row>
        <row r="274">
          <cell r="A274" t="str">
            <v>Transporte</v>
          </cell>
          <cell r="B274" t="str">
            <v>M</v>
          </cell>
          <cell r="C274" t="str">
            <v>4.30 a 34</v>
          </cell>
          <cell r="D274">
            <v>53045</v>
          </cell>
          <cell r="E274">
            <v>2541510693.46</v>
          </cell>
        </row>
        <row r="275">
          <cell r="A275" t="str">
            <v>Transporte</v>
          </cell>
          <cell r="B275" t="str">
            <v>M</v>
          </cell>
          <cell r="C275" t="str">
            <v>5.35 a 39</v>
          </cell>
          <cell r="D275">
            <v>58656</v>
          </cell>
          <cell r="E275">
            <v>2998396387.1599998</v>
          </cell>
        </row>
        <row r="276">
          <cell r="A276" t="str">
            <v>Transporte</v>
          </cell>
          <cell r="B276" t="str">
            <v>M</v>
          </cell>
          <cell r="C276" t="str">
            <v>6.40 a 44</v>
          </cell>
          <cell r="D276">
            <v>57326</v>
          </cell>
          <cell r="E276">
            <v>3067561745.9699998</v>
          </cell>
        </row>
        <row r="277">
          <cell r="A277" t="str">
            <v>Transporte</v>
          </cell>
          <cell r="B277" t="str">
            <v>M</v>
          </cell>
          <cell r="C277" t="str">
            <v>7.45 a 49</v>
          </cell>
          <cell r="D277">
            <v>47983</v>
          </cell>
          <cell r="E277">
            <v>2633189658.4400001</v>
          </cell>
        </row>
        <row r="278">
          <cell r="A278" t="str">
            <v>Transporte</v>
          </cell>
          <cell r="B278" t="str">
            <v>M</v>
          </cell>
          <cell r="C278" t="str">
            <v>8.50 a 54</v>
          </cell>
          <cell r="D278">
            <v>38458</v>
          </cell>
          <cell r="E278">
            <v>2146676888.1300001</v>
          </cell>
        </row>
        <row r="279">
          <cell r="A279" t="str">
            <v>Transporte</v>
          </cell>
          <cell r="B279" t="str">
            <v>M</v>
          </cell>
          <cell r="C279" t="str">
            <v>9.55 a 59</v>
          </cell>
          <cell r="D279">
            <v>26547</v>
          </cell>
          <cell r="E279">
            <v>1481780409.8499999</v>
          </cell>
        </row>
        <row r="280">
          <cell r="A280" t="str">
            <v>Transporte</v>
          </cell>
          <cell r="B280" t="str">
            <v>M</v>
          </cell>
          <cell r="C280" t="str">
            <v>A.60 a 64</v>
          </cell>
          <cell r="D280">
            <v>14564</v>
          </cell>
          <cell r="E280">
            <v>801555317.55999994</v>
          </cell>
        </row>
        <row r="281">
          <cell r="A281" t="str">
            <v>Transporte</v>
          </cell>
          <cell r="B281" t="str">
            <v>M</v>
          </cell>
          <cell r="C281" t="str">
            <v>B.65 y más</v>
          </cell>
          <cell r="D281">
            <v>6707</v>
          </cell>
          <cell r="E281">
            <v>292080911.51999998</v>
          </cell>
        </row>
        <row r="282">
          <cell r="A282" t="str">
            <v>Transporte</v>
          </cell>
          <cell r="B282" t="str">
            <v>M</v>
          </cell>
          <cell r="C282" t="str">
            <v>X.No Informada</v>
          </cell>
          <cell r="D282">
            <v>98</v>
          </cell>
          <cell r="E282">
            <v>4952955.09</v>
          </cell>
        </row>
        <row r="283">
          <cell r="A283" t="str">
            <v>Transporte</v>
          </cell>
          <cell r="B283" t="str">
            <v>x</v>
          </cell>
          <cell r="C283" t="str">
            <v>0. TOTAL</v>
          </cell>
          <cell r="D283">
            <v>32</v>
          </cell>
          <cell r="E283">
            <v>820567.13</v>
          </cell>
        </row>
        <row r="284">
          <cell r="A284" t="str">
            <v>Transporte</v>
          </cell>
          <cell r="B284" t="str">
            <v>x</v>
          </cell>
          <cell r="C284" t="str">
            <v>4.30 a 34</v>
          </cell>
          <cell r="D284">
            <v>1</v>
          </cell>
          <cell r="E284">
            <v>38334</v>
          </cell>
        </row>
        <row r="285">
          <cell r="A285" t="str">
            <v>Transporte</v>
          </cell>
          <cell r="B285" t="str">
            <v>x</v>
          </cell>
          <cell r="C285" t="str">
            <v>5.35 a 39</v>
          </cell>
          <cell r="D285">
            <v>2</v>
          </cell>
          <cell r="E285">
            <v>40935.5</v>
          </cell>
        </row>
        <row r="286">
          <cell r="A286" t="str">
            <v>Transporte</v>
          </cell>
          <cell r="B286" t="str">
            <v>x</v>
          </cell>
          <cell r="C286" t="str">
            <v>6.40 a 44</v>
          </cell>
          <cell r="D286">
            <v>4</v>
          </cell>
          <cell r="E286">
            <v>225143.91</v>
          </cell>
        </row>
        <row r="287">
          <cell r="A287" t="str">
            <v>Transporte</v>
          </cell>
          <cell r="B287" t="str">
            <v>x</v>
          </cell>
          <cell r="C287" t="str">
            <v>8.50 a 54</v>
          </cell>
          <cell r="D287">
            <v>1</v>
          </cell>
          <cell r="E287">
            <v>56555.76</v>
          </cell>
        </row>
        <row r="288">
          <cell r="A288" t="str">
            <v>Transporte</v>
          </cell>
          <cell r="B288" t="str">
            <v>x</v>
          </cell>
          <cell r="C288" t="str">
            <v>9.55 a 59</v>
          </cell>
          <cell r="D288">
            <v>2</v>
          </cell>
          <cell r="E288">
            <v>41595.32</v>
          </cell>
        </row>
        <row r="289">
          <cell r="A289" t="str">
            <v>Transporte</v>
          </cell>
          <cell r="B289" t="str">
            <v>x</v>
          </cell>
          <cell r="C289" t="str">
            <v>A.60 a 64</v>
          </cell>
          <cell r="D289">
            <v>3</v>
          </cell>
          <cell r="E289">
            <v>146120.62</v>
          </cell>
        </row>
        <row r="290">
          <cell r="A290" t="str">
            <v>Transporte</v>
          </cell>
          <cell r="B290" t="str">
            <v>x</v>
          </cell>
          <cell r="C290" t="str">
            <v>X.No Informada</v>
          </cell>
          <cell r="D290">
            <v>19</v>
          </cell>
          <cell r="E290">
            <v>271882.02</v>
          </cell>
        </row>
        <row r="291">
          <cell r="A291" t="str">
            <v>Transporte</v>
          </cell>
          <cell r="B291" t="str">
            <v>z</v>
          </cell>
          <cell r="C291" t="str">
            <v>0. TOTAL</v>
          </cell>
          <cell r="D291">
            <v>394808</v>
          </cell>
          <cell r="E291">
            <v>19892694864.169998</v>
          </cell>
        </row>
        <row r="292">
          <cell r="A292" t="str">
            <v>Transporte</v>
          </cell>
          <cell r="B292" t="str">
            <v>z</v>
          </cell>
          <cell r="C292" t="str">
            <v>1.Hasta 24</v>
          </cell>
          <cell r="D292">
            <v>19619</v>
          </cell>
          <cell r="E292">
            <v>668007842.21000004</v>
          </cell>
        </row>
        <row r="293">
          <cell r="A293" t="str">
            <v>Transporte</v>
          </cell>
          <cell r="B293" t="str">
            <v>z</v>
          </cell>
          <cell r="C293" t="str">
            <v>3.25 a 29</v>
          </cell>
          <cell r="D293">
            <v>45287</v>
          </cell>
          <cell r="E293">
            <v>1901295727.0599999</v>
          </cell>
        </row>
        <row r="294">
          <cell r="A294" t="str">
            <v>Transporte</v>
          </cell>
          <cell r="B294" t="str">
            <v>z</v>
          </cell>
          <cell r="C294" t="str">
            <v>4.30 a 34</v>
          </cell>
          <cell r="D294">
            <v>59162</v>
          </cell>
          <cell r="E294">
            <v>2819869065.3400002</v>
          </cell>
        </row>
        <row r="295">
          <cell r="A295" t="str">
            <v>Transporte</v>
          </cell>
          <cell r="B295" t="str">
            <v>z</v>
          </cell>
          <cell r="C295" t="str">
            <v>5.35 a 39</v>
          </cell>
          <cell r="D295">
            <v>64541</v>
          </cell>
          <cell r="E295">
            <v>3293319973.6700001</v>
          </cell>
        </row>
        <row r="296">
          <cell r="A296" t="str">
            <v>Transporte</v>
          </cell>
          <cell r="B296" t="str">
            <v>z</v>
          </cell>
          <cell r="C296" t="str">
            <v>6.40 a 44</v>
          </cell>
          <cell r="D296">
            <v>62547</v>
          </cell>
          <cell r="E296">
            <v>3345564712.02</v>
          </cell>
        </row>
        <row r="297">
          <cell r="A297" t="str">
            <v>Transporte</v>
          </cell>
          <cell r="B297" t="str">
            <v>z</v>
          </cell>
          <cell r="C297" t="str">
            <v>7.45 a 49</v>
          </cell>
          <cell r="D297">
            <v>51812</v>
          </cell>
          <cell r="E297">
            <v>2846582575.3299999</v>
          </cell>
        </row>
        <row r="298">
          <cell r="A298" t="str">
            <v>Transporte</v>
          </cell>
          <cell r="B298" t="str">
            <v>z</v>
          </cell>
          <cell r="C298" t="str">
            <v>8.50 a 54</v>
          </cell>
          <cell r="D298">
            <v>40760</v>
          </cell>
          <cell r="E298">
            <v>2271076981.6799998</v>
          </cell>
        </row>
        <row r="299">
          <cell r="A299" t="str">
            <v>Transporte</v>
          </cell>
          <cell r="B299" t="str">
            <v>z</v>
          </cell>
          <cell r="C299" t="str">
            <v>9.55 a 59</v>
          </cell>
          <cell r="D299">
            <v>28371</v>
          </cell>
          <cell r="E299">
            <v>1576365553.1400001</v>
          </cell>
        </row>
        <row r="300">
          <cell r="A300" t="str">
            <v>Transporte</v>
          </cell>
          <cell r="B300" t="str">
            <v>z</v>
          </cell>
          <cell r="C300" t="str">
            <v>A.60 a 64</v>
          </cell>
          <cell r="D300">
            <v>15376</v>
          </cell>
          <cell r="E300">
            <v>849808088.20000005</v>
          </cell>
        </row>
        <row r="301">
          <cell r="A301" t="str">
            <v>Transporte</v>
          </cell>
          <cell r="B301" t="str">
            <v>z</v>
          </cell>
          <cell r="C301" t="str">
            <v>B.65 y más</v>
          </cell>
          <cell r="D301">
            <v>7083</v>
          </cell>
          <cell r="E301">
            <v>310343024.62</v>
          </cell>
        </row>
        <row r="302">
          <cell r="A302" t="str">
            <v>Transporte</v>
          </cell>
          <cell r="B302" t="str">
            <v>z</v>
          </cell>
          <cell r="C302" t="str">
            <v>X.No Informada</v>
          </cell>
          <cell r="D302">
            <v>250</v>
          </cell>
          <cell r="E302">
            <v>10461320.9</v>
          </cell>
        </row>
        <row r="303">
          <cell r="A303" t="str">
            <v>Restaurantes y Hoteles</v>
          </cell>
          <cell r="B303" t="str">
            <v>F</v>
          </cell>
          <cell r="C303" t="str">
            <v>0. TOTAL</v>
          </cell>
          <cell r="D303">
            <v>114679</v>
          </cell>
          <cell r="E303">
            <v>2829860645.8400002</v>
          </cell>
        </row>
        <row r="304">
          <cell r="A304" t="str">
            <v>Restaurantes y Hoteles</v>
          </cell>
          <cell r="B304" t="str">
            <v>F</v>
          </cell>
          <cell r="C304" t="str">
            <v>1.Hasta 24</v>
          </cell>
          <cell r="D304">
            <v>29857</v>
          </cell>
          <cell r="E304">
            <v>524348971.22000003</v>
          </cell>
        </row>
        <row r="305">
          <cell r="A305" t="str">
            <v>Restaurantes y Hoteles</v>
          </cell>
          <cell r="B305" t="str">
            <v>F</v>
          </cell>
          <cell r="C305" t="str">
            <v>3.25 a 29</v>
          </cell>
          <cell r="D305">
            <v>22911</v>
          </cell>
          <cell r="E305">
            <v>520355483.67000002</v>
          </cell>
        </row>
        <row r="306">
          <cell r="A306" t="str">
            <v>Restaurantes y Hoteles</v>
          </cell>
          <cell r="B306" t="str">
            <v>F</v>
          </cell>
          <cell r="C306" t="str">
            <v>4.30 a 34</v>
          </cell>
          <cell r="D306">
            <v>16971</v>
          </cell>
          <cell r="E306">
            <v>444848220.67000002</v>
          </cell>
        </row>
        <row r="307">
          <cell r="A307" t="str">
            <v>Restaurantes y Hoteles</v>
          </cell>
          <cell r="B307" t="str">
            <v>F</v>
          </cell>
          <cell r="C307" t="str">
            <v>5.35 a 39</v>
          </cell>
          <cell r="D307">
            <v>14128</v>
          </cell>
          <cell r="E307">
            <v>401696375.32999998</v>
          </cell>
        </row>
        <row r="308">
          <cell r="A308" t="str">
            <v>Restaurantes y Hoteles</v>
          </cell>
          <cell r="B308" t="str">
            <v>F</v>
          </cell>
          <cell r="C308" t="str">
            <v>6.40 a 44</v>
          </cell>
          <cell r="D308">
            <v>11625</v>
          </cell>
          <cell r="E308">
            <v>345549189.61000001</v>
          </cell>
        </row>
        <row r="309">
          <cell r="A309" t="str">
            <v>Restaurantes y Hoteles</v>
          </cell>
          <cell r="B309" t="str">
            <v>F</v>
          </cell>
          <cell r="C309" t="str">
            <v>7.45 a 49</v>
          </cell>
          <cell r="D309">
            <v>7829</v>
          </cell>
          <cell r="E309">
            <v>238425148.44</v>
          </cell>
        </row>
        <row r="310">
          <cell r="A310" t="str">
            <v>Restaurantes y Hoteles</v>
          </cell>
          <cell r="B310" t="str">
            <v>F</v>
          </cell>
          <cell r="C310" t="str">
            <v>8.50 a 54</v>
          </cell>
          <cell r="D310">
            <v>5192</v>
          </cell>
          <cell r="E310">
            <v>162191604.41999999</v>
          </cell>
        </row>
        <row r="311">
          <cell r="A311" t="str">
            <v>Restaurantes y Hoteles</v>
          </cell>
          <cell r="B311" t="str">
            <v>F</v>
          </cell>
          <cell r="C311" t="str">
            <v>9.55 a 59</v>
          </cell>
          <cell r="D311">
            <v>3781</v>
          </cell>
          <cell r="E311">
            <v>120661389.28</v>
          </cell>
        </row>
        <row r="312">
          <cell r="A312" t="str">
            <v>Restaurantes y Hoteles</v>
          </cell>
          <cell r="B312" t="str">
            <v>F</v>
          </cell>
          <cell r="C312" t="str">
            <v>A.60 a 64</v>
          </cell>
          <cell r="D312">
            <v>1315</v>
          </cell>
          <cell r="E312">
            <v>43105962.43</v>
          </cell>
        </row>
        <row r="313">
          <cell r="A313" t="str">
            <v>Restaurantes y Hoteles</v>
          </cell>
          <cell r="B313" t="str">
            <v>F</v>
          </cell>
          <cell r="C313" t="str">
            <v>B.65 y más</v>
          </cell>
          <cell r="D313">
            <v>647</v>
          </cell>
          <cell r="E313">
            <v>17783837.140000001</v>
          </cell>
        </row>
        <row r="314">
          <cell r="A314" t="str">
            <v>Restaurantes y Hoteles</v>
          </cell>
          <cell r="B314" t="str">
            <v>F</v>
          </cell>
          <cell r="C314" t="str">
            <v>X.No Informada</v>
          </cell>
          <cell r="D314">
            <v>423</v>
          </cell>
          <cell r="E314">
            <v>10894463.630000001</v>
          </cell>
        </row>
        <row r="315">
          <cell r="A315" t="str">
            <v>Restaurantes y Hoteles</v>
          </cell>
          <cell r="B315" t="str">
            <v>M</v>
          </cell>
          <cell r="C315" t="str">
            <v>0. TOTAL</v>
          </cell>
          <cell r="D315">
            <v>137531</v>
          </cell>
          <cell r="E315">
            <v>3805144830.98</v>
          </cell>
        </row>
        <row r="316">
          <cell r="A316" t="str">
            <v>Restaurantes y Hoteles</v>
          </cell>
          <cell r="B316" t="str">
            <v>M</v>
          </cell>
          <cell r="C316" t="str">
            <v>1.Hasta 24</v>
          </cell>
          <cell r="D316">
            <v>31035</v>
          </cell>
          <cell r="E316">
            <v>586880836.48000002</v>
          </cell>
        </row>
        <row r="317">
          <cell r="A317" t="str">
            <v>Restaurantes y Hoteles</v>
          </cell>
          <cell r="B317" t="str">
            <v>M</v>
          </cell>
          <cell r="C317" t="str">
            <v>3.25 a 29</v>
          </cell>
          <cell r="D317">
            <v>26745</v>
          </cell>
          <cell r="E317">
            <v>646206001.86000001</v>
          </cell>
        </row>
        <row r="318">
          <cell r="A318" t="str">
            <v>Restaurantes y Hoteles</v>
          </cell>
          <cell r="B318" t="str">
            <v>M</v>
          </cell>
          <cell r="C318" t="str">
            <v>4.30 a 34</v>
          </cell>
          <cell r="D318">
            <v>20830</v>
          </cell>
          <cell r="E318">
            <v>584493596.73000002</v>
          </cell>
        </row>
        <row r="319">
          <cell r="A319" t="str">
            <v>Restaurantes y Hoteles</v>
          </cell>
          <cell r="B319" t="str">
            <v>M</v>
          </cell>
          <cell r="C319" t="str">
            <v>5.35 a 39</v>
          </cell>
          <cell r="D319">
            <v>16557</v>
          </cell>
          <cell r="E319">
            <v>512734049.38</v>
          </cell>
        </row>
        <row r="320">
          <cell r="A320" t="str">
            <v>Restaurantes y Hoteles</v>
          </cell>
          <cell r="B320" t="str">
            <v>M</v>
          </cell>
          <cell r="C320" t="str">
            <v>6.40 a 44</v>
          </cell>
          <cell r="D320">
            <v>13905</v>
          </cell>
          <cell r="E320">
            <v>468983078.98000002</v>
          </cell>
        </row>
        <row r="321">
          <cell r="A321" t="str">
            <v>Restaurantes y Hoteles</v>
          </cell>
          <cell r="B321" t="str">
            <v>M</v>
          </cell>
          <cell r="C321" t="str">
            <v>7.45 a 49</v>
          </cell>
          <cell r="D321">
            <v>10206</v>
          </cell>
          <cell r="E321">
            <v>361771069.13999999</v>
          </cell>
        </row>
        <row r="322">
          <cell r="A322" t="str">
            <v>Restaurantes y Hoteles</v>
          </cell>
          <cell r="B322" t="str">
            <v>M</v>
          </cell>
          <cell r="C322" t="str">
            <v>8.50 a 54</v>
          </cell>
          <cell r="D322">
            <v>7601</v>
          </cell>
          <cell r="E322">
            <v>269573624.19</v>
          </cell>
        </row>
        <row r="323">
          <cell r="A323" t="str">
            <v>Restaurantes y Hoteles</v>
          </cell>
          <cell r="B323" t="str">
            <v>M</v>
          </cell>
          <cell r="C323" t="str">
            <v>9.55 a 59</v>
          </cell>
          <cell r="D323">
            <v>5276</v>
          </cell>
          <cell r="E323">
            <v>187218512.18000001</v>
          </cell>
        </row>
        <row r="324">
          <cell r="A324" t="str">
            <v>Restaurantes y Hoteles</v>
          </cell>
          <cell r="B324" t="str">
            <v>M</v>
          </cell>
          <cell r="C324" t="str">
            <v>A.60 a 64</v>
          </cell>
          <cell r="D324">
            <v>3707</v>
          </cell>
          <cell r="E324">
            <v>135880869.21000001</v>
          </cell>
        </row>
        <row r="325">
          <cell r="A325" t="str">
            <v>Restaurantes y Hoteles</v>
          </cell>
          <cell r="B325" t="str">
            <v>M</v>
          </cell>
          <cell r="C325" t="str">
            <v>B.65 y más</v>
          </cell>
          <cell r="D325">
            <v>1612</v>
          </cell>
          <cell r="E325">
            <v>49632547.07</v>
          </cell>
        </row>
        <row r="326">
          <cell r="A326" t="str">
            <v>Restaurantes y Hoteles</v>
          </cell>
          <cell r="B326" t="str">
            <v>M</v>
          </cell>
          <cell r="C326" t="str">
            <v>X.No Informada</v>
          </cell>
          <cell r="D326">
            <v>57</v>
          </cell>
          <cell r="E326">
            <v>1770645.76</v>
          </cell>
        </row>
        <row r="327">
          <cell r="A327" t="str">
            <v>Restaurantes y Hoteles</v>
          </cell>
          <cell r="B327" t="str">
            <v>x</v>
          </cell>
          <cell r="C327" t="str">
            <v>0. TOTAL</v>
          </cell>
          <cell r="D327">
            <v>62</v>
          </cell>
          <cell r="E327">
            <v>1058742.57</v>
          </cell>
        </row>
        <row r="328">
          <cell r="A328" t="str">
            <v>Restaurantes y Hoteles</v>
          </cell>
          <cell r="B328" t="str">
            <v>x</v>
          </cell>
          <cell r="C328" t="str">
            <v>3.25 a 29</v>
          </cell>
          <cell r="D328">
            <v>1</v>
          </cell>
          <cell r="E328">
            <v>28695.55</v>
          </cell>
        </row>
        <row r="329">
          <cell r="A329" t="str">
            <v>Restaurantes y Hoteles</v>
          </cell>
          <cell r="B329" t="str">
            <v>x</v>
          </cell>
          <cell r="C329" t="str">
            <v>6.40 a 44</v>
          </cell>
          <cell r="D329">
            <v>1</v>
          </cell>
          <cell r="E329">
            <v>8195.15</v>
          </cell>
        </row>
        <row r="330">
          <cell r="A330" t="str">
            <v>Restaurantes y Hoteles</v>
          </cell>
          <cell r="B330" t="str">
            <v>x</v>
          </cell>
          <cell r="C330" t="str">
            <v>8.50 a 54</v>
          </cell>
          <cell r="D330">
            <v>1</v>
          </cell>
          <cell r="E330">
            <v>20856.72</v>
          </cell>
        </row>
        <row r="331">
          <cell r="A331" t="str">
            <v>Restaurantes y Hoteles</v>
          </cell>
          <cell r="B331" t="str">
            <v>x</v>
          </cell>
          <cell r="C331" t="str">
            <v>9.55 a 59</v>
          </cell>
          <cell r="D331">
            <v>1</v>
          </cell>
          <cell r="E331">
            <v>40960.199999999997</v>
          </cell>
        </row>
        <row r="332">
          <cell r="A332" t="str">
            <v>Restaurantes y Hoteles</v>
          </cell>
          <cell r="B332" t="str">
            <v>x</v>
          </cell>
          <cell r="C332" t="str">
            <v>A.60 a 64</v>
          </cell>
          <cell r="D332">
            <v>1</v>
          </cell>
          <cell r="E332">
            <v>82701.919999999998</v>
          </cell>
        </row>
        <row r="333">
          <cell r="A333" t="str">
            <v>Restaurantes y Hoteles</v>
          </cell>
          <cell r="B333" t="str">
            <v>x</v>
          </cell>
          <cell r="C333" t="str">
            <v>B.65 y más</v>
          </cell>
          <cell r="D333">
            <v>2</v>
          </cell>
          <cell r="E333">
            <v>49104.03</v>
          </cell>
        </row>
        <row r="334">
          <cell r="A334" t="str">
            <v>Restaurantes y Hoteles</v>
          </cell>
          <cell r="B334" t="str">
            <v>x</v>
          </cell>
          <cell r="C334" t="str">
            <v>X.No Informada</v>
          </cell>
          <cell r="D334">
            <v>55</v>
          </cell>
          <cell r="E334">
            <v>828229</v>
          </cell>
        </row>
        <row r="335">
          <cell r="A335" t="str">
            <v>Restaurantes y Hoteles</v>
          </cell>
          <cell r="B335" t="str">
            <v>z</v>
          </cell>
          <cell r="C335" t="str">
            <v>0. TOTAL</v>
          </cell>
          <cell r="D335">
            <v>252272</v>
          </cell>
          <cell r="E335">
            <v>6636064219.3900003</v>
          </cell>
        </row>
        <row r="336">
          <cell r="A336" t="str">
            <v>Restaurantes y Hoteles</v>
          </cell>
          <cell r="B336" t="str">
            <v>z</v>
          </cell>
          <cell r="C336" t="str">
            <v>1.Hasta 24</v>
          </cell>
          <cell r="D336">
            <v>60892</v>
          </cell>
          <cell r="E336">
            <v>1111229807.7</v>
          </cell>
        </row>
        <row r="337">
          <cell r="A337" t="str">
            <v>Restaurantes y Hoteles</v>
          </cell>
          <cell r="B337" t="str">
            <v>z</v>
          </cell>
          <cell r="C337" t="str">
            <v>3.25 a 29</v>
          </cell>
          <cell r="D337">
            <v>49657</v>
          </cell>
          <cell r="E337">
            <v>1166590181.0799999</v>
          </cell>
        </row>
        <row r="338">
          <cell r="A338" t="str">
            <v>Restaurantes y Hoteles</v>
          </cell>
          <cell r="B338" t="str">
            <v>z</v>
          </cell>
          <cell r="C338" t="str">
            <v>4.30 a 34</v>
          </cell>
          <cell r="D338">
            <v>37801</v>
          </cell>
          <cell r="E338">
            <v>1029341817.4</v>
          </cell>
        </row>
        <row r="339">
          <cell r="A339" t="str">
            <v>Restaurantes y Hoteles</v>
          </cell>
          <cell r="B339" t="str">
            <v>z</v>
          </cell>
          <cell r="C339" t="str">
            <v>5.35 a 39</v>
          </cell>
          <cell r="D339">
            <v>30685</v>
          </cell>
          <cell r="E339">
            <v>914430424.71000004</v>
          </cell>
        </row>
        <row r="340">
          <cell r="A340" t="str">
            <v>Restaurantes y Hoteles</v>
          </cell>
          <cell r="B340" t="str">
            <v>z</v>
          </cell>
          <cell r="C340" t="str">
            <v>6.40 a 44</v>
          </cell>
          <cell r="D340">
            <v>25531</v>
          </cell>
          <cell r="E340">
            <v>814540463.74000001</v>
          </cell>
        </row>
        <row r="341">
          <cell r="A341" t="str">
            <v>Restaurantes y Hoteles</v>
          </cell>
          <cell r="B341" t="str">
            <v>z</v>
          </cell>
          <cell r="C341" t="str">
            <v>7.45 a 49</v>
          </cell>
          <cell r="D341">
            <v>18035</v>
          </cell>
          <cell r="E341">
            <v>600196217.58000004</v>
          </cell>
        </row>
        <row r="342">
          <cell r="A342" t="str">
            <v>Restaurantes y Hoteles</v>
          </cell>
          <cell r="B342" t="str">
            <v>z</v>
          </cell>
          <cell r="C342" t="str">
            <v>8.50 a 54</v>
          </cell>
          <cell r="D342">
            <v>12794</v>
          </cell>
          <cell r="E342">
            <v>431786085.32999998</v>
          </cell>
        </row>
        <row r="343">
          <cell r="A343" t="str">
            <v>Restaurantes y Hoteles</v>
          </cell>
          <cell r="B343" t="str">
            <v>z</v>
          </cell>
          <cell r="C343" t="str">
            <v>9.55 a 59</v>
          </cell>
          <cell r="D343">
            <v>9058</v>
          </cell>
          <cell r="E343">
            <v>307920861.66000003</v>
          </cell>
        </row>
        <row r="344">
          <cell r="A344" t="str">
            <v>Restaurantes y Hoteles</v>
          </cell>
          <cell r="B344" t="str">
            <v>z</v>
          </cell>
          <cell r="C344" t="str">
            <v>A.60 a 64</v>
          </cell>
          <cell r="D344">
            <v>5023</v>
          </cell>
          <cell r="E344">
            <v>179069533.56</v>
          </cell>
        </row>
        <row r="345">
          <cell r="A345" t="str">
            <v>Restaurantes y Hoteles</v>
          </cell>
          <cell r="B345" t="str">
            <v>z</v>
          </cell>
          <cell r="C345" t="str">
            <v>B.65 y más</v>
          </cell>
          <cell r="D345">
            <v>2261</v>
          </cell>
          <cell r="E345">
            <v>67465488.239999995</v>
          </cell>
        </row>
        <row r="346">
          <cell r="A346" t="str">
            <v>Restaurantes y Hoteles</v>
          </cell>
          <cell r="B346" t="str">
            <v>z</v>
          </cell>
          <cell r="C346" t="str">
            <v>X.No Informada</v>
          </cell>
          <cell r="D346">
            <v>535</v>
          </cell>
          <cell r="E346">
            <v>13493338.390000001</v>
          </cell>
        </row>
        <row r="347">
          <cell r="A347" t="str">
            <v>Comunicaciones</v>
          </cell>
          <cell r="B347" t="str">
            <v>F</v>
          </cell>
          <cell r="C347" t="str">
            <v>0. TOTAL</v>
          </cell>
          <cell r="D347">
            <v>68490</v>
          </cell>
          <cell r="E347">
            <v>4473658764</v>
          </cell>
        </row>
        <row r="348">
          <cell r="A348" t="str">
            <v>Comunicaciones</v>
          </cell>
          <cell r="B348" t="str">
            <v>F</v>
          </cell>
          <cell r="C348" t="str">
            <v>1.Hasta 24</v>
          </cell>
          <cell r="D348">
            <v>6053</v>
          </cell>
          <cell r="E348">
            <v>211627893.36000001</v>
          </cell>
        </row>
        <row r="349">
          <cell r="A349" t="str">
            <v>Comunicaciones</v>
          </cell>
          <cell r="B349" t="str">
            <v>F</v>
          </cell>
          <cell r="C349" t="str">
            <v>3.25 a 29</v>
          </cell>
          <cell r="D349">
            <v>12760</v>
          </cell>
          <cell r="E349">
            <v>644106758.74000001</v>
          </cell>
        </row>
        <row r="350">
          <cell r="A350" t="str">
            <v>Comunicaciones</v>
          </cell>
          <cell r="B350" t="str">
            <v>F</v>
          </cell>
          <cell r="C350" t="str">
            <v>4.30 a 34</v>
          </cell>
          <cell r="D350">
            <v>13912</v>
          </cell>
          <cell r="E350">
            <v>883589560.33000004</v>
          </cell>
        </row>
        <row r="351">
          <cell r="A351" t="str">
            <v>Comunicaciones</v>
          </cell>
          <cell r="B351" t="str">
            <v>F</v>
          </cell>
          <cell r="C351" t="str">
            <v>5.35 a 39</v>
          </cell>
          <cell r="D351">
            <v>12114</v>
          </cell>
          <cell r="E351">
            <v>872868595.20000005</v>
          </cell>
        </row>
        <row r="352">
          <cell r="A352" t="str">
            <v>Comunicaciones</v>
          </cell>
          <cell r="B352" t="str">
            <v>F</v>
          </cell>
          <cell r="C352" t="str">
            <v>6.40 a 44</v>
          </cell>
          <cell r="D352">
            <v>9825</v>
          </cell>
          <cell r="E352">
            <v>759792496.04999995</v>
          </cell>
        </row>
        <row r="353">
          <cell r="A353" t="str">
            <v>Comunicaciones</v>
          </cell>
          <cell r="B353" t="str">
            <v>F</v>
          </cell>
          <cell r="C353" t="str">
            <v>7.45 a 49</v>
          </cell>
          <cell r="D353">
            <v>6299</v>
          </cell>
          <cell r="E353">
            <v>519174477.05000001</v>
          </cell>
        </row>
        <row r="354">
          <cell r="A354" t="str">
            <v>Comunicaciones</v>
          </cell>
          <cell r="B354" t="str">
            <v>F</v>
          </cell>
          <cell r="C354" t="str">
            <v>8.50 a 54</v>
          </cell>
          <cell r="D354">
            <v>3556</v>
          </cell>
          <cell r="E354">
            <v>303164459.19</v>
          </cell>
        </row>
        <row r="355">
          <cell r="A355" t="str">
            <v>Comunicaciones</v>
          </cell>
          <cell r="B355" t="str">
            <v>F</v>
          </cell>
          <cell r="C355" t="str">
            <v>9.55 a 59</v>
          </cell>
          <cell r="D355">
            <v>2468</v>
          </cell>
          <cell r="E355">
            <v>181208970.75</v>
          </cell>
        </row>
        <row r="356">
          <cell r="A356" t="str">
            <v>Comunicaciones</v>
          </cell>
          <cell r="B356" t="str">
            <v>F</v>
          </cell>
          <cell r="C356" t="str">
            <v>A.60 a 64</v>
          </cell>
          <cell r="D356">
            <v>886</v>
          </cell>
          <cell r="E356">
            <v>61897287.450000003</v>
          </cell>
        </row>
        <row r="357">
          <cell r="A357" t="str">
            <v>Comunicaciones</v>
          </cell>
          <cell r="B357" t="str">
            <v>F</v>
          </cell>
          <cell r="C357" t="str">
            <v>B.65 y más</v>
          </cell>
          <cell r="D357">
            <v>433</v>
          </cell>
          <cell r="E357">
            <v>24956686.399999999</v>
          </cell>
        </row>
        <row r="358">
          <cell r="A358" t="str">
            <v>Comunicaciones</v>
          </cell>
          <cell r="B358" t="str">
            <v>F</v>
          </cell>
          <cell r="C358" t="str">
            <v>X.No Informada</v>
          </cell>
          <cell r="D358">
            <v>184</v>
          </cell>
          <cell r="E358">
            <v>11271579.48</v>
          </cell>
        </row>
        <row r="359">
          <cell r="A359" t="str">
            <v>Comunicaciones</v>
          </cell>
          <cell r="B359" t="str">
            <v>M</v>
          </cell>
          <cell r="C359" t="str">
            <v>0. TOTAL</v>
          </cell>
          <cell r="D359">
            <v>143203</v>
          </cell>
          <cell r="E359">
            <v>11861368295.25</v>
          </cell>
        </row>
        <row r="360">
          <cell r="A360" t="str">
            <v>Comunicaciones</v>
          </cell>
          <cell r="B360" t="str">
            <v>M</v>
          </cell>
          <cell r="C360" t="str">
            <v>1.Hasta 24</v>
          </cell>
          <cell r="D360">
            <v>10924</v>
          </cell>
          <cell r="E360">
            <v>452594021.81999999</v>
          </cell>
        </row>
        <row r="361">
          <cell r="A361" t="str">
            <v>Comunicaciones</v>
          </cell>
          <cell r="B361" t="str">
            <v>M</v>
          </cell>
          <cell r="C361" t="str">
            <v>3.25 a 29</v>
          </cell>
          <cell r="D361">
            <v>23927</v>
          </cell>
          <cell r="E361">
            <v>1465686301.76</v>
          </cell>
        </row>
        <row r="362">
          <cell r="A362" t="str">
            <v>Comunicaciones</v>
          </cell>
          <cell r="B362" t="str">
            <v>M</v>
          </cell>
          <cell r="C362" t="str">
            <v>4.30 a 34</v>
          </cell>
          <cell r="D362">
            <v>27013</v>
          </cell>
          <cell r="E362">
            <v>2078625554.79</v>
          </cell>
        </row>
        <row r="363">
          <cell r="A363" t="str">
            <v>Comunicaciones</v>
          </cell>
          <cell r="B363" t="str">
            <v>M</v>
          </cell>
          <cell r="C363" t="str">
            <v>5.35 a 39</v>
          </cell>
          <cell r="D363">
            <v>24454</v>
          </cell>
          <cell r="E363">
            <v>2187056758.5100002</v>
          </cell>
        </row>
        <row r="364">
          <cell r="A364" t="str">
            <v>Comunicaciones</v>
          </cell>
          <cell r="B364" t="str">
            <v>M</v>
          </cell>
          <cell r="C364" t="str">
            <v>6.40 a 44</v>
          </cell>
          <cell r="D364">
            <v>19319</v>
          </cell>
          <cell r="E364">
            <v>1881152443.3299999</v>
          </cell>
        </row>
        <row r="365">
          <cell r="A365" t="str">
            <v>Comunicaciones</v>
          </cell>
          <cell r="B365" t="str">
            <v>M</v>
          </cell>
          <cell r="C365" t="str">
            <v>7.45 a 49</v>
          </cell>
          <cell r="D365">
            <v>14336</v>
          </cell>
          <cell r="E365">
            <v>1489894306.29</v>
          </cell>
        </row>
        <row r="366">
          <cell r="A366" t="str">
            <v>Comunicaciones</v>
          </cell>
          <cell r="B366" t="str">
            <v>M</v>
          </cell>
          <cell r="C366" t="str">
            <v>8.50 a 54</v>
          </cell>
          <cell r="D366">
            <v>10129</v>
          </cell>
          <cell r="E366">
            <v>1029360893.4299999</v>
          </cell>
        </row>
        <row r="367">
          <cell r="A367" t="str">
            <v>Comunicaciones</v>
          </cell>
          <cell r="B367" t="str">
            <v>M</v>
          </cell>
          <cell r="C367" t="str">
            <v>9.55 a 59</v>
          </cell>
          <cell r="D367">
            <v>7274</v>
          </cell>
          <cell r="E367">
            <v>744569896.15999997</v>
          </cell>
        </row>
        <row r="368">
          <cell r="A368" t="str">
            <v>Comunicaciones</v>
          </cell>
          <cell r="B368" t="str">
            <v>M</v>
          </cell>
          <cell r="C368" t="str">
            <v>A.60 a 64</v>
          </cell>
          <cell r="D368">
            <v>4452</v>
          </cell>
          <cell r="E368">
            <v>410423485.36000001</v>
          </cell>
        </row>
        <row r="369">
          <cell r="A369" t="str">
            <v>Comunicaciones</v>
          </cell>
          <cell r="B369" t="str">
            <v>M</v>
          </cell>
          <cell r="C369" t="str">
            <v>B.65 y más</v>
          </cell>
          <cell r="D369">
            <v>1324</v>
          </cell>
          <cell r="E369">
            <v>119346635.52</v>
          </cell>
        </row>
        <row r="370">
          <cell r="A370" t="str">
            <v>Comunicaciones</v>
          </cell>
          <cell r="B370" t="str">
            <v>M</v>
          </cell>
          <cell r="C370" t="str">
            <v>X.No Informada</v>
          </cell>
          <cell r="D370">
            <v>51</v>
          </cell>
          <cell r="E370">
            <v>2657998.2799999998</v>
          </cell>
        </row>
        <row r="371">
          <cell r="A371" t="str">
            <v>Comunicaciones</v>
          </cell>
          <cell r="B371" t="str">
            <v>x</v>
          </cell>
          <cell r="C371" t="str">
            <v>0. TOTAL</v>
          </cell>
          <cell r="D371">
            <v>15</v>
          </cell>
          <cell r="E371">
            <v>3495116.15</v>
          </cell>
        </row>
        <row r="372">
          <cell r="A372" t="str">
            <v>Comunicaciones</v>
          </cell>
          <cell r="B372" t="str">
            <v>x</v>
          </cell>
          <cell r="C372" t="str">
            <v>1.Hasta 24</v>
          </cell>
          <cell r="D372">
            <v>1</v>
          </cell>
          <cell r="E372">
            <v>46086.1</v>
          </cell>
        </row>
        <row r="373">
          <cell r="A373" t="str">
            <v>Comunicaciones</v>
          </cell>
          <cell r="B373" t="str">
            <v>x</v>
          </cell>
          <cell r="C373" t="str">
            <v>5.35 a 39</v>
          </cell>
          <cell r="D373">
            <v>3</v>
          </cell>
          <cell r="E373">
            <v>164557.13</v>
          </cell>
        </row>
        <row r="374">
          <cell r="A374" t="str">
            <v>Comunicaciones</v>
          </cell>
          <cell r="B374" t="str">
            <v>x</v>
          </cell>
          <cell r="C374" t="str">
            <v>7.45 a 49</v>
          </cell>
          <cell r="D374">
            <v>2</v>
          </cell>
          <cell r="E374">
            <v>241660.87</v>
          </cell>
        </row>
        <row r="375">
          <cell r="A375" t="str">
            <v>Comunicaciones</v>
          </cell>
          <cell r="B375" t="str">
            <v>x</v>
          </cell>
          <cell r="C375" t="str">
            <v>8.50 a 54</v>
          </cell>
          <cell r="D375">
            <v>2</v>
          </cell>
          <cell r="E375">
            <v>331834.08</v>
          </cell>
        </row>
        <row r="376">
          <cell r="A376" t="str">
            <v>Comunicaciones</v>
          </cell>
          <cell r="B376" t="str">
            <v>x</v>
          </cell>
          <cell r="C376" t="str">
            <v>9.55 a 59</v>
          </cell>
          <cell r="D376">
            <v>1</v>
          </cell>
          <cell r="E376">
            <v>191839</v>
          </cell>
        </row>
        <row r="377">
          <cell r="A377" t="str">
            <v>Comunicaciones</v>
          </cell>
          <cell r="B377" t="str">
            <v>x</v>
          </cell>
          <cell r="C377" t="str">
            <v>A.60 a 64</v>
          </cell>
          <cell r="D377">
            <v>1</v>
          </cell>
          <cell r="E377">
            <v>2410652.0099999998</v>
          </cell>
        </row>
        <row r="378">
          <cell r="A378" t="str">
            <v>Comunicaciones</v>
          </cell>
          <cell r="B378" t="str">
            <v>x</v>
          </cell>
          <cell r="C378" t="str">
            <v>X.No Informada</v>
          </cell>
          <cell r="D378">
            <v>5</v>
          </cell>
          <cell r="E378">
            <v>108486.96</v>
          </cell>
        </row>
        <row r="379">
          <cell r="A379" t="str">
            <v>Comunicaciones</v>
          </cell>
          <cell r="B379" t="str">
            <v>z</v>
          </cell>
          <cell r="C379" t="str">
            <v>0. TOTAL</v>
          </cell>
          <cell r="D379">
            <v>211708</v>
          </cell>
          <cell r="E379">
            <v>16338522175.4</v>
          </cell>
        </row>
        <row r="380">
          <cell r="A380" t="str">
            <v>Comunicaciones</v>
          </cell>
          <cell r="B380" t="str">
            <v>z</v>
          </cell>
          <cell r="C380" t="str">
            <v>1.Hasta 24</v>
          </cell>
          <cell r="D380">
            <v>16978</v>
          </cell>
          <cell r="E380">
            <v>664268001.27999997</v>
          </cell>
        </row>
        <row r="381">
          <cell r="A381" t="str">
            <v>Comunicaciones</v>
          </cell>
          <cell r="B381" t="str">
            <v>z</v>
          </cell>
          <cell r="C381" t="str">
            <v>3.25 a 29</v>
          </cell>
          <cell r="D381">
            <v>36687</v>
          </cell>
          <cell r="E381">
            <v>2109793060.5</v>
          </cell>
        </row>
        <row r="382">
          <cell r="A382" t="str">
            <v>Comunicaciones</v>
          </cell>
          <cell r="B382" t="str">
            <v>z</v>
          </cell>
          <cell r="C382" t="str">
            <v>4.30 a 34</v>
          </cell>
          <cell r="D382">
            <v>40925</v>
          </cell>
          <cell r="E382">
            <v>2962215115.1199999</v>
          </cell>
        </row>
        <row r="383">
          <cell r="A383" t="str">
            <v>Comunicaciones</v>
          </cell>
          <cell r="B383" t="str">
            <v>z</v>
          </cell>
          <cell r="C383" t="str">
            <v>5.35 a 39</v>
          </cell>
          <cell r="D383">
            <v>36571</v>
          </cell>
          <cell r="E383">
            <v>3060089910.8400002</v>
          </cell>
        </row>
        <row r="384">
          <cell r="A384" t="str">
            <v>Comunicaciones</v>
          </cell>
          <cell r="B384" t="str">
            <v>z</v>
          </cell>
          <cell r="C384" t="str">
            <v>6.40 a 44</v>
          </cell>
          <cell r="D384">
            <v>29144</v>
          </cell>
          <cell r="E384">
            <v>2640944939.3800001</v>
          </cell>
        </row>
        <row r="385">
          <cell r="A385" t="str">
            <v>Comunicaciones</v>
          </cell>
          <cell r="B385" t="str">
            <v>z</v>
          </cell>
          <cell r="C385" t="str">
            <v>7.45 a 49</v>
          </cell>
          <cell r="D385">
            <v>20637</v>
          </cell>
          <cell r="E385">
            <v>2009310444.21</v>
          </cell>
        </row>
        <row r="386">
          <cell r="A386" t="str">
            <v>Comunicaciones</v>
          </cell>
          <cell r="B386" t="str">
            <v>z</v>
          </cell>
          <cell r="C386" t="str">
            <v>8.50 a 54</v>
          </cell>
          <cell r="D386">
            <v>13687</v>
          </cell>
          <cell r="E386">
            <v>1332857186.7</v>
          </cell>
        </row>
        <row r="387">
          <cell r="A387" t="str">
            <v>Comunicaciones</v>
          </cell>
          <cell r="B387" t="str">
            <v>z</v>
          </cell>
          <cell r="C387" t="str">
            <v>9.55 a 59</v>
          </cell>
          <cell r="D387">
            <v>9743</v>
          </cell>
          <cell r="E387">
            <v>925970705.90999997</v>
          </cell>
        </row>
        <row r="388">
          <cell r="A388" t="str">
            <v>Comunicaciones</v>
          </cell>
          <cell r="B388" t="str">
            <v>z</v>
          </cell>
          <cell r="C388" t="str">
            <v>A.60 a 64</v>
          </cell>
          <cell r="D388">
            <v>5339</v>
          </cell>
          <cell r="E388">
            <v>474731424.81999999</v>
          </cell>
        </row>
        <row r="389">
          <cell r="A389" t="str">
            <v>Comunicaciones</v>
          </cell>
          <cell r="B389" t="str">
            <v>z</v>
          </cell>
          <cell r="C389" t="str">
            <v>B.65 y más</v>
          </cell>
          <cell r="D389">
            <v>1757</v>
          </cell>
          <cell r="E389">
            <v>144303321.91999999</v>
          </cell>
        </row>
        <row r="390">
          <cell r="A390" t="str">
            <v>Comunicaciones</v>
          </cell>
          <cell r="B390" t="str">
            <v>z</v>
          </cell>
          <cell r="C390" t="str">
            <v>X.No Informada</v>
          </cell>
          <cell r="D390">
            <v>240</v>
          </cell>
          <cell r="E390">
            <v>14038064.720000001</v>
          </cell>
        </row>
        <row r="391">
          <cell r="A391" t="str">
            <v>Bancos y Seguros</v>
          </cell>
          <cell r="B391" t="str">
            <v>F</v>
          </cell>
          <cell r="C391" t="str">
            <v>0. TOTAL</v>
          </cell>
          <cell r="D391">
            <v>97876</v>
          </cell>
          <cell r="E391">
            <v>7149934583.46</v>
          </cell>
        </row>
        <row r="392">
          <cell r="A392" t="str">
            <v>Bancos y Seguros</v>
          </cell>
          <cell r="B392" t="str">
            <v>F</v>
          </cell>
          <cell r="C392" t="str">
            <v>1.Hasta 24</v>
          </cell>
          <cell r="D392">
            <v>4545</v>
          </cell>
          <cell r="E392">
            <v>193993790.31</v>
          </cell>
        </row>
        <row r="393">
          <cell r="A393" t="str">
            <v>Bancos y Seguros</v>
          </cell>
          <cell r="B393" t="str">
            <v>F</v>
          </cell>
          <cell r="C393" t="str">
            <v>3.25 a 29</v>
          </cell>
          <cell r="D393">
            <v>13090</v>
          </cell>
          <cell r="E393">
            <v>707756332.98000002</v>
          </cell>
        </row>
        <row r="394">
          <cell r="A394" t="str">
            <v>Bancos y Seguros</v>
          </cell>
          <cell r="B394" t="str">
            <v>F</v>
          </cell>
          <cell r="C394" t="str">
            <v>4.30 a 34</v>
          </cell>
          <cell r="D394">
            <v>18749</v>
          </cell>
          <cell r="E394">
            <v>1198024280.55</v>
          </cell>
        </row>
        <row r="395">
          <cell r="A395" t="str">
            <v>Bancos y Seguros</v>
          </cell>
          <cell r="B395" t="str">
            <v>F</v>
          </cell>
          <cell r="C395" t="str">
            <v>5.35 a 39</v>
          </cell>
          <cell r="D395">
            <v>17638</v>
          </cell>
          <cell r="E395">
            <v>1265856552.22</v>
          </cell>
        </row>
        <row r="396">
          <cell r="A396" t="str">
            <v>Bancos y Seguros</v>
          </cell>
          <cell r="B396" t="str">
            <v>F</v>
          </cell>
          <cell r="C396" t="str">
            <v>6.40 a 44</v>
          </cell>
          <cell r="D396">
            <v>15631</v>
          </cell>
          <cell r="E396">
            <v>1286507204.76</v>
          </cell>
        </row>
        <row r="397">
          <cell r="A397" t="str">
            <v>Bancos y Seguros</v>
          </cell>
          <cell r="B397" t="str">
            <v>F</v>
          </cell>
          <cell r="C397" t="str">
            <v>7.45 a 49</v>
          </cell>
          <cell r="D397">
            <v>11109</v>
          </cell>
          <cell r="E397">
            <v>1006061604.5599999</v>
          </cell>
        </row>
        <row r="398">
          <cell r="A398" t="str">
            <v>Bancos y Seguros</v>
          </cell>
          <cell r="B398" t="str">
            <v>F</v>
          </cell>
          <cell r="C398" t="str">
            <v>8.50 a 54</v>
          </cell>
          <cell r="D398">
            <v>7387</v>
          </cell>
          <cell r="E398">
            <v>655969805.85000002</v>
          </cell>
        </row>
        <row r="399">
          <cell r="A399" t="str">
            <v>Bancos y Seguros</v>
          </cell>
          <cell r="B399" t="str">
            <v>F</v>
          </cell>
          <cell r="C399" t="str">
            <v>9.55 a 59</v>
          </cell>
          <cell r="D399">
            <v>5838</v>
          </cell>
          <cell r="E399">
            <v>507765415.61000001</v>
          </cell>
        </row>
        <row r="400">
          <cell r="A400" t="str">
            <v>Bancos y Seguros</v>
          </cell>
          <cell r="B400" t="str">
            <v>F</v>
          </cell>
          <cell r="C400" t="str">
            <v>A.60 a 64</v>
          </cell>
          <cell r="D400">
            <v>2703</v>
          </cell>
          <cell r="E400">
            <v>241732892.90000001</v>
          </cell>
        </row>
        <row r="401">
          <cell r="A401" t="str">
            <v>Bancos y Seguros</v>
          </cell>
          <cell r="B401" t="str">
            <v>F</v>
          </cell>
          <cell r="C401" t="str">
            <v>B.65 y más</v>
          </cell>
          <cell r="D401">
            <v>972</v>
          </cell>
          <cell r="E401">
            <v>74002015.700000003</v>
          </cell>
        </row>
        <row r="402">
          <cell r="A402" t="str">
            <v>Bancos y Seguros</v>
          </cell>
          <cell r="B402" t="str">
            <v>F</v>
          </cell>
          <cell r="C402" t="str">
            <v>X.No Informada</v>
          </cell>
          <cell r="D402">
            <v>214</v>
          </cell>
          <cell r="E402">
            <v>12264688.02</v>
          </cell>
        </row>
        <row r="403">
          <cell r="A403" t="str">
            <v>Bancos y Seguros</v>
          </cell>
          <cell r="B403" t="str">
            <v>M</v>
          </cell>
          <cell r="C403" t="str">
            <v>0. TOTAL</v>
          </cell>
          <cell r="D403">
            <v>91399</v>
          </cell>
          <cell r="E403">
            <v>8975189276.4099998</v>
          </cell>
        </row>
        <row r="404">
          <cell r="A404" t="str">
            <v>Bancos y Seguros</v>
          </cell>
          <cell r="B404" t="str">
            <v>M</v>
          </cell>
          <cell r="C404" t="str">
            <v>1.Hasta 24</v>
          </cell>
          <cell r="D404">
            <v>4496</v>
          </cell>
          <cell r="E404">
            <v>201756227.41999999</v>
          </cell>
        </row>
        <row r="405">
          <cell r="A405" t="str">
            <v>Bancos y Seguros</v>
          </cell>
          <cell r="B405" t="str">
            <v>M</v>
          </cell>
          <cell r="C405" t="str">
            <v>3.25 a 29</v>
          </cell>
          <cell r="D405">
            <v>11156</v>
          </cell>
          <cell r="E405">
            <v>686455287.26999998</v>
          </cell>
        </row>
        <row r="406">
          <cell r="A406" t="str">
            <v>Bancos y Seguros</v>
          </cell>
          <cell r="B406" t="str">
            <v>M</v>
          </cell>
          <cell r="C406" t="str">
            <v>4.30 a 34</v>
          </cell>
          <cell r="D406">
            <v>15044</v>
          </cell>
          <cell r="E406">
            <v>1153197722.8800001</v>
          </cell>
        </row>
        <row r="407">
          <cell r="A407" t="str">
            <v>Bancos y Seguros</v>
          </cell>
          <cell r="B407" t="str">
            <v>M</v>
          </cell>
          <cell r="C407" t="str">
            <v>5.35 a 39</v>
          </cell>
          <cell r="D407">
            <v>14700</v>
          </cell>
          <cell r="E407">
            <v>1326361455.8499999</v>
          </cell>
        </row>
        <row r="408">
          <cell r="A408" t="str">
            <v>Bancos y Seguros</v>
          </cell>
          <cell r="B408" t="str">
            <v>M</v>
          </cell>
          <cell r="C408" t="str">
            <v>6.40 a 44</v>
          </cell>
          <cell r="D408">
            <v>12426</v>
          </cell>
          <cell r="E408">
            <v>1344458972.5599999</v>
          </cell>
        </row>
        <row r="409">
          <cell r="A409" t="str">
            <v>Bancos y Seguros</v>
          </cell>
          <cell r="B409" t="str">
            <v>M</v>
          </cell>
          <cell r="C409" t="str">
            <v>7.45 a 49</v>
          </cell>
          <cell r="D409">
            <v>10603</v>
          </cell>
          <cell r="E409">
            <v>1343034163.5</v>
          </cell>
        </row>
        <row r="410">
          <cell r="A410" t="str">
            <v>Bancos y Seguros</v>
          </cell>
          <cell r="B410" t="str">
            <v>M</v>
          </cell>
          <cell r="C410" t="str">
            <v>8.50 a 54</v>
          </cell>
          <cell r="D410">
            <v>8175</v>
          </cell>
          <cell r="E410">
            <v>1042165454.08</v>
          </cell>
        </row>
        <row r="411">
          <cell r="A411" t="str">
            <v>Bancos y Seguros</v>
          </cell>
          <cell r="B411" t="str">
            <v>M</v>
          </cell>
          <cell r="C411" t="str">
            <v>9.55 a 59</v>
          </cell>
          <cell r="D411">
            <v>7172</v>
          </cell>
          <cell r="E411">
            <v>957652897.63999999</v>
          </cell>
        </row>
        <row r="412">
          <cell r="A412" t="str">
            <v>Bancos y Seguros</v>
          </cell>
          <cell r="B412" t="str">
            <v>M</v>
          </cell>
          <cell r="C412" t="str">
            <v>A.60 a 64</v>
          </cell>
          <cell r="D412">
            <v>5419</v>
          </cell>
          <cell r="E412">
            <v>664427038.72000003</v>
          </cell>
        </row>
        <row r="413">
          <cell r="A413" t="str">
            <v>Bancos y Seguros</v>
          </cell>
          <cell r="B413" t="str">
            <v>M</v>
          </cell>
          <cell r="C413" t="str">
            <v>B.65 y más</v>
          </cell>
          <cell r="D413">
            <v>2191</v>
          </cell>
          <cell r="E413">
            <v>253887722.09999999</v>
          </cell>
        </row>
        <row r="414">
          <cell r="A414" t="str">
            <v>Bancos y Seguros</v>
          </cell>
          <cell r="B414" t="str">
            <v>M</v>
          </cell>
          <cell r="C414" t="str">
            <v>X.No Informada</v>
          </cell>
          <cell r="D414">
            <v>17</v>
          </cell>
          <cell r="E414">
            <v>1792334.39</v>
          </cell>
        </row>
        <row r="415">
          <cell r="A415" t="str">
            <v>Bancos y Seguros</v>
          </cell>
          <cell r="B415" t="str">
            <v>x</v>
          </cell>
          <cell r="C415" t="str">
            <v>0. TOTAL</v>
          </cell>
          <cell r="D415">
            <v>12</v>
          </cell>
          <cell r="E415">
            <v>1259524.8899999999</v>
          </cell>
        </row>
        <row r="416">
          <cell r="A416" t="str">
            <v>Bancos y Seguros</v>
          </cell>
          <cell r="B416" t="str">
            <v>x</v>
          </cell>
          <cell r="C416" t="str">
            <v>4.30 a 34</v>
          </cell>
          <cell r="D416">
            <v>1</v>
          </cell>
          <cell r="E416">
            <v>166272.14000000001</v>
          </cell>
        </row>
        <row r="417">
          <cell r="A417" t="str">
            <v>Bancos y Seguros</v>
          </cell>
          <cell r="B417" t="str">
            <v>x</v>
          </cell>
          <cell r="C417" t="str">
            <v>5.35 a 39</v>
          </cell>
          <cell r="D417">
            <v>2</v>
          </cell>
          <cell r="E417">
            <v>189839.14</v>
          </cell>
        </row>
        <row r="418">
          <cell r="A418" t="str">
            <v>Bancos y Seguros</v>
          </cell>
          <cell r="B418" t="str">
            <v>x</v>
          </cell>
          <cell r="C418" t="str">
            <v>7.45 a 49</v>
          </cell>
          <cell r="D418">
            <v>3</v>
          </cell>
          <cell r="E418">
            <v>458297.85</v>
          </cell>
        </row>
        <row r="419">
          <cell r="A419" t="str">
            <v>Bancos y Seguros</v>
          </cell>
          <cell r="B419" t="str">
            <v>x</v>
          </cell>
          <cell r="C419" t="str">
            <v>X.No Informada</v>
          </cell>
          <cell r="D419">
            <v>6</v>
          </cell>
          <cell r="E419">
            <v>445115.76</v>
          </cell>
        </row>
        <row r="420">
          <cell r="A420" t="str">
            <v>Bancos y Seguros</v>
          </cell>
          <cell r="B420" t="str">
            <v>z</v>
          </cell>
          <cell r="C420" t="str">
            <v>0. TOTAL</v>
          </cell>
          <cell r="D420">
            <v>189287</v>
          </cell>
          <cell r="E420">
            <v>16126383384.76</v>
          </cell>
        </row>
        <row r="421">
          <cell r="A421" t="str">
            <v>Bancos y Seguros</v>
          </cell>
          <cell r="B421" t="str">
            <v>z</v>
          </cell>
          <cell r="C421" t="str">
            <v>1.Hasta 24</v>
          </cell>
          <cell r="D421">
            <v>9041</v>
          </cell>
          <cell r="E421">
            <v>395750017.73000002</v>
          </cell>
        </row>
        <row r="422">
          <cell r="A422" t="str">
            <v>Bancos y Seguros</v>
          </cell>
          <cell r="B422" t="str">
            <v>z</v>
          </cell>
          <cell r="C422" t="str">
            <v>3.25 a 29</v>
          </cell>
          <cell r="D422">
            <v>24246</v>
          </cell>
          <cell r="E422">
            <v>1394211620.25</v>
          </cell>
        </row>
        <row r="423">
          <cell r="A423" t="str">
            <v>Bancos y Seguros</v>
          </cell>
          <cell r="B423" t="str">
            <v>z</v>
          </cell>
          <cell r="C423" t="str">
            <v>4.30 a 34</v>
          </cell>
          <cell r="D423">
            <v>33794</v>
          </cell>
          <cell r="E423">
            <v>2351388275.5700002</v>
          </cell>
        </row>
        <row r="424">
          <cell r="A424" t="str">
            <v>Bancos y Seguros</v>
          </cell>
          <cell r="B424" t="str">
            <v>z</v>
          </cell>
          <cell r="C424" t="str">
            <v>5.35 a 39</v>
          </cell>
          <cell r="D424">
            <v>32340</v>
          </cell>
          <cell r="E424">
            <v>2592407847.21</v>
          </cell>
        </row>
        <row r="425">
          <cell r="A425" t="str">
            <v>Bancos y Seguros</v>
          </cell>
          <cell r="B425" t="str">
            <v>z</v>
          </cell>
          <cell r="C425" t="str">
            <v>6.40 a 44</v>
          </cell>
          <cell r="D425">
            <v>28057</v>
          </cell>
          <cell r="E425">
            <v>2630966177.3200002</v>
          </cell>
        </row>
        <row r="426">
          <cell r="A426" t="str">
            <v>Bancos y Seguros</v>
          </cell>
          <cell r="B426" t="str">
            <v>z</v>
          </cell>
          <cell r="C426" t="str">
            <v>7.45 a 49</v>
          </cell>
          <cell r="D426">
            <v>21715</v>
          </cell>
          <cell r="E426">
            <v>2349554065.9099998</v>
          </cell>
        </row>
        <row r="427">
          <cell r="A427" t="str">
            <v>Bancos y Seguros</v>
          </cell>
          <cell r="B427" t="str">
            <v>z</v>
          </cell>
          <cell r="C427" t="str">
            <v>8.50 a 54</v>
          </cell>
          <cell r="D427">
            <v>15562</v>
          </cell>
          <cell r="E427">
            <v>1698135259.9300001</v>
          </cell>
        </row>
        <row r="428">
          <cell r="A428" t="str">
            <v>Bancos y Seguros</v>
          </cell>
          <cell r="B428" t="str">
            <v>z</v>
          </cell>
          <cell r="C428" t="str">
            <v>9.55 a 59</v>
          </cell>
          <cell r="D428">
            <v>13010</v>
          </cell>
          <cell r="E428">
            <v>1465418313.25</v>
          </cell>
        </row>
        <row r="429">
          <cell r="A429" t="str">
            <v>Bancos y Seguros</v>
          </cell>
          <cell r="B429" t="str">
            <v>z</v>
          </cell>
          <cell r="C429" t="str">
            <v>A.60 a 64</v>
          </cell>
          <cell r="D429">
            <v>8122</v>
          </cell>
          <cell r="E429">
            <v>906159931.62</v>
          </cell>
        </row>
        <row r="430">
          <cell r="A430" t="str">
            <v>Bancos y Seguros</v>
          </cell>
          <cell r="B430" t="str">
            <v>z</v>
          </cell>
          <cell r="C430" t="str">
            <v>B.65 y más</v>
          </cell>
          <cell r="D430">
            <v>3163</v>
          </cell>
          <cell r="E430">
            <v>327889737.80000001</v>
          </cell>
        </row>
        <row r="431">
          <cell r="A431" t="str">
            <v>Bancos y Seguros</v>
          </cell>
          <cell r="B431" t="str">
            <v>z</v>
          </cell>
          <cell r="C431" t="str">
            <v>X.No Informada</v>
          </cell>
          <cell r="D431">
            <v>237</v>
          </cell>
          <cell r="E431">
            <v>14502138.17</v>
          </cell>
        </row>
        <row r="432">
          <cell r="A432" t="str">
            <v>Otros</v>
          </cell>
          <cell r="B432" t="str">
            <v>M</v>
          </cell>
          <cell r="C432" t="str">
            <v>X.No Informada</v>
          </cell>
          <cell r="D432">
            <v>16</v>
          </cell>
          <cell r="E432">
            <v>721121.02</v>
          </cell>
        </row>
        <row r="433">
          <cell r="A433" t="str">
            <v>Otros</v>
          </cell>
          <cell r="B433" t="str">
            <v>x</v>
          </cell>
          <cell r="C433" t="str">
            <v>0. TOTAL</v>
          </cell>
          <cell r="D433">
            <v>5</v>
          </cell>
          <cell r="E433">
            <v>66779.77</v>
          </cell>
        </row>
        <row r="434">
          <cell r="A434" t="str">
            <v>Otros</v>
          </cell>
          <cell r="B434" t="str">
            <v>x</v>
          </cell>
          <cell r="C434" t="str">
            <v>8.50 a 54</v>
          </cell>
          <cell r="D434">
            <v>1</v>
          </cell>
          <cell r="E434">
            <v>45104.32</v>
          </cell>
        </row>
        <row r="435">
          <cell r="A435" t="str">
            <v>Otros</v>
          </cell>
          <cell r="B435" t="str">
            <v>x</v>
          </cell>
          <cell r="C435" t="str">
            <v>X.No Informada</v>
          </cell>
          <cell r="D435">
            <v>4</v>
          </cell>
          <cell r="E435">
            <v>21675.45</v>
          </cell>
        </row>
        <row r="436">
          <cell r="A436" t="str">
            <v>Servicios Profesionales</v>
          </cell>
          <cell r="B436" t="str">
            <v>F</v>
          </cell>
          <cell r="C436" t="str">
            <v>0. TOTAL</v>
          </cell>
          <cell r="D436">
            <v>76654</v>
          </cell>
          <cell r="E436">
            <v>3536120440.8800001</v>
          </cell>
        </row>
        <row r="437">
          <cell r="A437" t="str">
            <v>Servicios Profesionales</v>
          </cell>
          <cell r="B437" t="str">
            <v>F</v>
          </cell>
          <cell r="C437" t="str">
            <v>1.Hasta 24</v>
          </cell>
          <cell r="D437">
            <v>9164</v>
          </cell>
          <cell r="E437">
            <v>241985995.36000001</v>
          </cell>
        </row>
        <row r="438">
          <cell r="A438" t="str">
            <v>Servicios Profesionales</v>
          </cell>
          <cell r="B438" t="str">
            <v>F</v>
          </cell>
          <cell r="C438" t="str">
            <v>3.25 a 29</v>
          </cell>
          <cell r="D438">
            <v>16095</v>
          </cell>
          <cell r="E438">
            <v>626627077.5</v>
          </cell>
        </row>
        <row r="439">
          <cell r="A439" t="str">
            <v>Servicios Profesionales</v>
          </cell>
          <cell r="B439" t="str">
            <v>F</v>
          </cell>
          <cell r="C439" t="str">
            <v>4.30 a 34</v>
          </cell>
          <cell r="D439">
            <v>14123</v>
          </cell>
          <cell r="E439">
            <v>700747653.85000002</v>
          </cell>
        </row>
        <row r="440">
          <cell r="A440" t="str">
            <v>Servicios Profesionales</v>
          </cell>
          <cell r="B440" t="str">
            <v>F</v>
          </cell>
          <cell r="C440" t="str">
            <v>5.35 a 39</v>
          </cell>
          <cell r="D440">
            <v>10880</v>
          </cell>
          <cell r="E440">
            <v>614708372.23000002</v>
          </cell>
        </row>
        <row r="441">
          <cell r="A441" t="str">
            <v>Servicios Profesionales</v>
          </cell>
          <cell r="B441" t="str">
            <v>F</v>
          </cell>
          <cell r="C441" t="str">
            <v>6.40 a 44</v>
          </cell>
          <cell r="D441">
            <v>8977</v>
          </cell>
          <cell r="E441">
            <v>486703854.81</v>
          </cell>
        </row>
        <row r="442">
          <cell r="A442" t="str">
            <v>Servicios Profesionales</v>
          </cell>
          <cell r="B442" t="str">
            <v>F</v>
          </cell>
          <cell r="C442" t="str">
            <v>7.45 a 49</v>
          </cell>
          <cell r="D442">
            <v>6527</v>
          </cell>
          <cell r="E442">
            <v>347568018.87</v>
          </cell>
        </row>
        <row r="443">
          <cell r="A443" t="str">
            <v>Servicios Profesionales</v>
          </cell>
          <cell r="B443" t="str">
            <v>F</v>
          </cell>
          <cell r="C443" t="str">
            <v>8.50 a 54</v>
          </cell>
          <cell r="D443">
            <v>4479</v>
          </cell>
          <cell r="E443">
            <v>222878180.22</v>
          </cell>
        </row>
        <row r="444">
          <cell r="A444" t="str">
            <v>Servicios Profesionales</v>
          </cell>
          <cell r="B444" t="str">
            <v>F</v>
          </cell>
          <cell r="C444" t="str">
            <v>9.55 a 59</v>
          </cell>
          <cell r="D444">
            <v>3744</v>
          </cell>
          <cell r="E444">
            <v>180002886.93000001</v>
          </cell>
        </row>
        <row r="445">
          <cell r="A445" t="str">
            <v>Servicios Profesionales</v>
          </cell>
          <cell r="B445" t="str">
            <v>F</v>
          </cell>
          <cell r="C445" t="str">
            <v>A.60 a 64</v>
          </cell>
          <cell r="D445">
            <v>1527</v>
          </cell>
          <cell r="E445">
            <v>71349778.689999998</v>
          </cell>
        </row>
        <row r="446">
          <cell r="A446" t="str">
            <v>Servicios Profesionales</v>
          </cell>
          <cell r="B446" t="str">
            <v>F</v>
          </cell>
          <cell r="C446" t="str">
            <v>B.65 y más</v>
          </cell>
          <cell r="D446">
            <v>880</v>
          </cell>
          <cell r="E446">
            <v>32370330.690000001</v>
          </cell>
        </row>
        <row r="447">
          <cell r="A447" t="str">
            <v>Servicios Profesionales</v>
          </cell>
          <cell r="B447" t="str">
            <v>F</v>
          </cell>
          <cell r="C447" t="str">
            <v>X.No Informada</v>
          </cell>
          <cell r="D447">
            <v>258</v>
          </cell>
          <cell r="E447">
            <v>11178291.73</v>
          </cell>
        </row>
        <row r="448">
          <cell r="A448" t="str">
            <v>Servicios Profesionales</v>
          </cell>
          <cell r="B448" t="str">
            <v>M</v>
          </cell>
          <cell r="C448" t="str">
            <v>0. TOTAL</v>
          </cell>
          <cell r="D448">
            <v>88399</v>
          </cell>
          <cell r="E448">
            <v>4814260107</v>
          </cell>
        </row>
        <row r="449">
          <cell r="A449" t="str">
            <v>Servicios Profesionales</v>
          </cell>
          <cell r="B449" t="str">
            <v>M</v>
          </cell>
          <cell r="C449" t="str">
            <v>1.Hasta 24</v>
          </cell>
          <cell r="D449">
            <v>11486</v>
          </cell>
          <cell r="E449">
            <v>326571060.56</v>
          </cell>
        </row>
        <row r="450">
          <cell r="A450" t="str">
            <v>Servicios Profesionales</v>
          </cell>
          <cell r="B450" t="str">
            <v>M</v>
          </cell>
          <cell r="C450" t="str">
            <v>3.25 a 29</v>
          </cell>
          <cell r="D450">
            <v>17251</v>
          </cell>
          <cell r="E450">
            <v>712312747.12</v>
          </cell>
        </row>
        <row r="451">
          <cell r="A451" t="str">
            <v>Servicios Profesionales</v>
          </cell>
          <cell r="B451" t="str">
            <v>M</v>
          </cell>
          <cell r="C451" t="str">
            <v>4.30 a 34</v>
          </cell>
          <cell r="D451">
            <v>15627</v>
          </cell>
          <cell r="E451">
            <v>830750679.92999995</v>
          </cell>
        </row>
        <row r="452">
          <cell r="A452" t="str">
            <v>Servicios Profesionales</v>
          </cell>
          <cell r="B452" t="str">
            <v>M</v>
          </cell>
          <cell r="C452" t="str">
            <v>5.35 a 39</v>
          </cell>
          <cell r="D452">
            <v>13034</v>
          </cell>
          <cell r="E452">
            <v>806285828.76999998</v>
          </cell>
        </row>
        <row r="453">
          <cell r="A453" t="str">
            <v>Servicios Profesionales</v>
          </cell>
          <cell r="B453" t="str">
            <v>M</v>
          </cell>
          <cell r="C453" t="str">
            <v>6.40 a 44</v>
          </cell>
          <cell r="D453">
            <v>10548</v>
          </cell>
          <cell r="E453">
            <v>684790377.36000001</v>
          </cell>
        </row>
        <row r="454">
          <cell r="A454" t="str">
            <v>Servicios Profesionales</v>
          </cell>
          <cell r="B454" t="str">
            <v>M</v>
          </cell>
          <cell r="C454" t="str">
            <v>7.45 a 49</v>
          </cell>
          <cell r="D454">
            <v>7499</v>
          </cell>
          <cell r="E454">
            <v>519417033.63</v>
          </cell>
        </row>
        <row r="455">
          <cell r="A455" t="str">
            <v>Servicios Profesionales</v>
          </cell>
          <cell r="B455" t="str">
            <v>M</v>
          </cell>
          <cell r="C455" t="str">
            <v>8.50 a 54</v>
          </cell>
          <cell r="D455">
            <v>5040</v>
          </cell>
          <cell r="E455">
            <v>366401028.70999998</v>
          </cell>
        </row>
        <row r="456">
          <cell r="A456" t="str">
            <v>Servicios Profesionales</v>
          </cell>
          <cell r="B456" t="str">
            <v>M</v>
          </cell>
          <cell r="C456" t="str">
            <v>9.55 a 59</v>
          </cell>
          <cell r="D456">
            <v>3846</v>
          </cell>
          <cell r="E456">
            <v>263062214.74000001</v>
          </cell>
        </row>
        <row r="457">
          <cell r="A457" t="str">
            <v>Servicios Profesionales</v>
          </cell>
          <cell r="B457" t="str">
            <v>M</v>
          </cell>
          <cell r="C457" t="str">
            <v>A.60 a 64</v>
          </cell>
          <cell r="D457">
            <v>2621</v>
          </cell>
          <cell r="E457">
            <v>205996370.65000001</v>
          </cell>
        </row>
        <row r="458">
          <cell r="A458" t="str">
            <v>Servicios Profesionales</v>
          </cell>
          <cell r="B458" t="str">
            <v>M</v>
          </cell>
          <cell r="C458" t="str">
            <v>B.65 y más</v>
          </cell>
          <cell r="D458">
            <v>1412</v>
          </cell>
          <cell r="E458">
            <v>97212223.120000005</v>
          </cell>
        </row>
        <row r="459">
          <cell r="A459" t="str">
            <v>Servicios Profesionales</v>
          </cell>
          <cell r="B459" t="str">
            <v>M</v>
          </cell>
          <cell r="C459" t="str">
            <v>X.No Informada</v>
          </cell>
          <cell r="D459">
            <v>35</v>
          </cell>
          <cell r="E459">
            <v>1460542.41</v>
          </cell>
        </row>
        <row r="460">
          <cell r="A460" t="str">
            <v>Servicios Profesionales</v>
          </cell>
          <cell r="B460" t="str">
            <v>x</v>
          </cell>
          <cell r="C460" t="str">
            <v>0. TOTAL</v>
          </cell>
          <cell r="D460">
            <v>25</v>
          </cell>
          <cell r="E460">
            <v>533499.82999999996</v>
          </cell>
        </row>
        <row r="461">
          <cell r="A461" t="str">
            <v>Servicios Profesionales</v>
          </cell>
          <cell r="B461" t="str">
            <v>x</v>
          </cell>
          <cell r="C461" t="str">
            <v>5.35 a 39</v>
          </cell>
          <cell r="D461">
            <v>1</v>
          </cell>
          <cell r="E461">
            <v>13964.08</v>
          </cell>
        </row>
        <row r="462">
          <cell r="A462" t="str">
            <v>Servicios Profesionales</v>
          </cell>
          <cell r="B462" t="str">
            <v>x</v>
          </cell>
          <cell r="C462" t="str">
            <v>6.40 a 44</v>
          </cell>
          <cell r="D462">
            <v>2</v>
          </cell>
          <cell r="E462">
            <v>149501.16</v>
          </cell>
        </row>
        <row r="463">
          <cell r="A463" t="str">
            <v>Servicios Profesionales</v>
          </cell>
          <cell r="B463" t="str">
            <v>x</v>
          </cell>
          <cell r="C463" t="str">
            <v>X.No Informada</v>
          </cell>
          <cell r="D463">
            <v>22</v>
          </cell>
          <cell r="E463">
            <v>370034.59</v>
          </cell>
        </row>
        <row r="464">
          <cell r="A464" t="str">
            <v>Servicios Profesionales</v>
          </cell>
          <cell r="B464" t="str">
            <v>z</v>
          </cell>
          <cell r="C464" t="str">
            <v>0. TOTAL</v>
          </cell>
          <cell r="D464">
            <v>165078</v>
          </cell>
          <cell r="E464">
            <v>8350914047.71</v>
          </cell>
        </row>
        <row r="465">
          <cell r="A465" t="str">
            <v>Servicios Profesionales</v>
          </cell>
          <cell r="B465" t="str">
            <v>z</v>
          </cell>
          <cell r="C465" t="str">
            <v>1.Hasta 24</v>
          </cell>
          <cell r="D465">
            <v>20650</v>
          </cell>
          <cell r="E465">
            <v>568557055.91999996</v>
          </cell>
        </row>
        <row r="466">
          <cell r="A466" t="str">
            <v>Servicios Profesionales</v>
          </cell>
          <cell r="B466" t="str">
            <v>z</v>
          </cell>
          <cell r="C466" t="str">
            <v>3.25 a 29</v>
          </cell>
          <cell r="D466">
            <v>33346</v>
          </cell>
          <cell r="E466">
            <v>1338939824.6199999</v>
          </cell>
        </row>
        <row r="467">
          <cell r="A467" t="str">
            <v>Servicios Profesionales</v>
          </cell>
          <cell r="B467" t="str">
            <v>z</v>
          </cell>
          <cell r="C467" t="str">
            <v>4.30 a 34</v>
          </cell>
          <cell r="D467">
            <v>29750</v>
          </cell>
          <cell r="E467">
            <v>1531498333.78</v>
          </cell>
        </row>
        <row r="468">
          <cell r="A468" t="str">
            <v>Servicios Profesionales</v>
          </cell>
          <cell r="B468" t="str">
            <v>z</v>
          </cell>
          <cell r="C468" t="str">
            <v>5.35 a 39</v>
          </cell>
          <cell r="D468">
            <v>23915</v>
          </cell>
          <cell r="E468">
            <v>1421008165.0799999</v>
          </cell>
        </row>
        <row r="469">
          <cell r="A469" t="str">
            <v>Servicios Profesionales</v>
          </cell>
          <cell r="B469" t="str">
            <v>z</v>
          </cell>
          <cell r="C469" t="str">
            <v>6.40 a 44</v>
          </cell>
          <cell r="D469">
            <v>19527</v>
          </cell>
          <cell r="E469">
            <v>1171643733.3299999</v>
          </cell>
        </row>
        <row r="470">
          <cell r="A470" t="str">
            <v>Servicios Profesionales</v>
          </cell>
          <cell r="B470" t="str">
            <v>z</v>
          </cell>
          <cell r="C470" t="str">
            <v>7.45 a 49</v>
          </cell>
          <cell r="D470">
            <v>14026</v>
          </cell>
          <cell r="E470">
            <v>866985052.5</v>
          </cell>
        </row>
        <row r="471">
          <cell r="A471" t="str">
            <v>Servicios Profesionales</v>
          </cell>
          <cell r="B471" t="str">
            <v>z</v>
          </cell>
          <cell r="C471" t="str">
            <v>8.50 a 54</v>
          </cell>
          <cell r="D471">
            <v>9519</v>
          </cell>
          <cell r="E471">
            <v>589279208.92999995</v>
          </cell>
        </row>
        <row r="472">
          <cell r="A472" t="str">
            <v>Servicios Profesionales</v>
          </cell>
          <cell r="B472" t="str">
            <v>z</v>
          </cell>
          <cell r="C472" t="str">
            <v>9.55 a 59</v>
          </cell>
          <cell r="D472">
            <v>7590</v>
          </cell>
          <cell r="E472">
            <v>443065101.67000002</v>
          </cell>
        </row>
        <row r="473">
          <cell r="A473" t="str">
            <v>Servicios Profesionales</v>
          </cell>
          <cell r="B473" t="str">
            <v>z</v>
          </cell>
          <cell r="C473" t="str">
            <v>A.60 a 64</v>
          </cell>
          <cell r="D473">
            <v>4148</v>
          </cell>
          <cell r="E473">
            <v>277346149.33999997</v>
          </cell>
        </row>
        <row r="474">
          <cell r="A474" t="str">
            <v>Servicios Profesionales</v>
          </cell>
          <cell r="B474" t="str">
            <v>z</v>
          </cell>
          <cell r="C474" t="str">
            <v>B.65 y más</v>
          </cell>
          <cell r="D474">
            <v>2292</v>
          </cell>
          <cell r="E474">
            <v>129582553.81</v>
          </cell>
        </row>
        <row r="475">
          <cell r="A475" t="str">
            <v>Servicios Profesionales</v>
          </cell>
          <cell r="B475" t="str">
            <v>z</v>
          </cell>
          <cell r="C475" t="str">
            <v>X.No Informada</v>
          </cell>
          <cell r="D475">
            <v>315</v>
          </cell>
          <cell r="E475">
            <v>13008868.73</v>
          </cell>
        </row>
        <row r="476">
          <cell r="A476" t="str">
            <v>Act Administrativas</v>
          </cell>
          <cell r="B476" t="str">
            <v>F</v>
          </cell>
          <cell r="C476" t="str">
            <v>0. TOTAL</v>
          </cell>
          <cell r="D476">
            <v>172491</v>
          </cell>
          <cell r="E476">
            <v>4811487157.0100002</v>
          </cell>
        </row>
        <row r="477">
          <cell r="A477" t="str">
            <v>Act Administrativas</v>
          </cell>
          <cell r="B477" t="str">
            <v>F</v>
          </cell>
          <cell r="C477" t="str">
            <v>1.Hasta 24</v>
          </cell>
          <cell r="D477">
            <v>24843</v>
          </cell>
          <cell r="E477">
            <v>512023449.95999998</v>
          </cell>
        </row>
        <row r="478">
          <cell r="A478" t="str">
            <v>Act Administrativas</v>
          </cell>
          <cell r="B478" t="str">
            <v>F</v>
          </cell>
          <cell r="C478" t="str">
            <v>3.25 a 29</v>
          </cell>
          <cell r="D478">
            <v>35605</v>
          </cell>
          <cell r="E478">
            <v>931030592.27999997</v>
          </cell>
        </row>
        <row r="479">
          <cell r="A479" t="str">
            <v>Act Administrativas</v>
          </cell>
          <cell r="B479" t="str">
            <v>F</v>
          </cell>
          <cell r="C479" t="str">
            <v>4.30 a 34</v>
          </cell>
          <cell r="D479">
            <v>31341</v>
          </cell>
          <cell r="E479">
            <v>930138117.51999998</v>
          </cell>
        </row>
        <row r="480">
          <cell r="A480" t="str">
            <v>Act Administrativas</v>
          </cell>
          <cell r="B480" t="str">
            <v>F</v>
          </cell>
          <cell r="C480" t="str">
            <v>5.35 a 39</v>
          </cell>
          <cell r="D480">
            <v>25841</v>
          </cell>
          <cell r="E480">
            <v>782883165.04999995</v>
          </cell>
        </row>
        <row r="481">
          <cell r="A481" t="str">
            <v>Act Administrativas</v>
          </cell>
          <cell r="B481" t="str">
            <v>F</v>
          </cell>
          <cell r="C481" t="str">
            <v>6.40 a 44</v>
          </cell>
          <cell r="D481">
            <v>20878</v>
          </cell>
          <cell r="E481">
            <v>647217648.60000002</v>
          </cell>
        </row>
        <row r="482">
          <cell r="A482" t="str">
            <v>Act Administrativas</v>
          </cell>
          <cell r="B482" t="str">
            <v>F</v>
          </cell>
          <cell r="C482" t="str">
            <v>7.45 a 49</v>
          </cell>
          <cell r="D482">
            <v>14631</v>
          </cell>
          <cell r="E482">
            <v>440664217.44</v>
          </cell>
        </row>
        <row r="483">
          <cell r="A483" t="str">
            <v>Act Administrativas</v>
          </cell>
          <cell r="B483" t="str">
            <v>F</v>
          </cell>
          <cell r="C483" t="str">
            <v>8.50 a 54</v>
          </cell>
          <cell r="D483">
            <v>9341</v>
          </cell>
          <cell r="E483">
            <v>271195097.33999997</v>
          </cell>
        </row>
        <row r="484">
          <cell r="A484" t="str">
            <v>Act Administrativas</v>
          </cell>
          <cell r="B484" t="str">
            <v>F</v>
          </cell>
          <cell r="C484" t="str">
            <v>9.55 a 59</v>
          </cell>
          <cell r="D484">
            <v>6234</v>
          </cell>
          <cell r="E484">
            <v>179985893.75999999</v>
          </cell>
        </row>
        <row r="485">
          <cell r="A485" t="str">
            <v>Act Administrativas</v>
          </cell>
          <cell r="B485" t="str">
            <v>F</v>
          </cell>
          <cell r="C485" t="str">
            <v>A.60 a 64</v>
          </cell>
          <cell r="D485">
            <v>2149</v>
          </cell>
          <cell r="E485">
            <v>68244801.810000002</v>
          </cell>
        </row>
        <row r="486">
          <cell r="A486" t="str">
            <v>Act Administrativas</v>
          </cell>
          <cell r="B486" t="str">
            <v>F</v>
          </cell>
          <cell r="C486" t="str">
            <v>B.65 y más</v>
          </cell>
          <cell r="D486">
            <v>938</v>
          </cell>
          <cell r="E486">
            <v>29652544.219999999</v>
          </cell>
        </row>
        <row r="487">
          <cell r="A487" t="str">
            <v>Act Administrativas</v>
          </cell>
          <cell r="B487" t="str">
            <v>F</v>
          </cell>
          <cell r="C487" t="str">
            <v>X.No Informada</v>
          </cell>
          <cell r="D487">
            <v>690</v>
          </cell>
          <cell r="E487">
            <v>18451629.030000001</v>
          </cell>
        </row>
        <row r="488">
          <cell r="A488" t="str">
            <v>Act Administrativas</v>
          </cell>
          <cell r="B488" t="str">
            <v>M</v>
          </cell>
          <cell r="C488" t="str">
            <v>0. TOTAL</v>
          </cell>
          <cell r="D488">
            <v>296135</v>
          </cell>
          <cell r="E488">
            <v>10211957047.35</v>
          </cell>
        </row>
        <row r="489">
          <cell r="A489" t="str">
            <v>Act Administrativas</v>
          </cell>
          <cell r="B489" t="str">
            <v>M</v>
          </cell>
          <cell r="C489" t="str">
            <v>1.Hasta 24</v>
          </cell>
          <cell r="D489">
            <v>40340</v>
          </cell>
          <cell r="E489">
            <v>986733432.45000005</v>
          </cell>
        </row>
        <row r="490">
          <cell r="A490" t="str">
            <v>Act Administrativas</v>
          </cell>
          <cell r="B490" t="str">
            <v>M</v>
          </cell>
          <cell r="C490" t="str">
            <v>3.25 a 29</v>
          </cell>
          <cell r="D490">
            <v>54343</v>
          </cell>
          <cell r="E490">
            <v>1591288998.6199999</v>
          </cell>
        </row>
        <row r="491">
          <cell r="A491" t="str">
            <v>Act Administrativas</v>
          </cell>
          <cell r="B491" t="str">
            <v>M</v>
          </cell>
          <cell r="C491" t="str">
            <v>4.30 a 34</v>
          </cell>
          <cell r="D491">
            <v>48537</v>
          </cell>
          <cell r="E491">
            <v>1654187319.3699999</v>
          </cell>
        </row>
        <row r="492">
          <cell r="A492" t="str">
            <v>Act Administrativas</v>
          </cell>
          <cell r="B492" t="str">
            <v>M</v>
          </cell>
          <cell r="C492" t="str">
            <v>5.35 a 39</v>
          </cell>
          <cell r="D492">
            <v>41989</v>
          </cell>
          <cell r="E492">
            <v>1597200010.23</v>
          </cell>
        </row>
        <row r="493">
          <cell r="A493" t="str">
            <v>Act Administrativas</v>
          </cell>
          <cell r="B493" t="str">
            <v>M</v>
          </cell>
          <cell r="C493" t="str">
            <v>6.40 a 44</v>
          </cell>
          <cell r="D493">
            <v>36113</v>
          </cell>
          <cell r="E493">
            <v>1436966029.78</v>
          </cell>
        </row>
        <row r="494">
          <cell r="A494" t="str">
            <v>Act Administrativas</v>
          </cell>
          <cell r="B494" t="str">
            <v>M</v>
          </cell>
          <cell r="C494" t="str">
            <v>7.45 a 49</v>
          </cell>
          <cell r="D494">
            <v>27202</v>
          </cell>
          <cell r="E494">
            <v>1105355187.6800001</v>
          </cell>
        </row>
        <row r="495">
          <cell r="A495" t="str">
            <v>Act Administrativas</v>
          </cell>
          <cell r="B495" t="str">
            <v>M</v>
          </cell>
          <cell r="C495" t="str">
            <v>8.50 a 54</v>
          </cell>
          <cell r="D495">
            <v>19152</v>
          </cell>
          <cell r="E495">
            <v>756766152.77999997</v>
          </cell>
        </row>
        <row r="496">
          <cell r="A496" t="str">
            <v>Act Administrativas</v>
          </cell>
          <cell r="B496" t="str">
            <v>M</v>
          </cell>
          <cell r="C496" t="str">
            <v>9.55 a 59</v>
          </cell>
          <cell r="D496">
            <v>14471</v>
          </cell>
          <cell r="E496">
            <v>557390803.79999995</v>
          </cell>
        </row>
        <row r="497">
          <cell r="A497" t="str">
            <v>Act Administrativas</v>
          </cell>
          <cell r="B497" t="str">
            <v>M</v>
          </cell>
          <cell r="C497" t="str">
            <v>A.60 a 64</v>
          </cell>
          <cell r="D497">
            <v>9986</v>
          </cell>
          <cell r="E497">
            <v>377564768.98000002</v>
          </cell>
        </row>
        <row r="498">
          <cell r="A498" t="str">
            <v>Act Administrativas</v>
          </cell>
          <cell r="B498" t="str">
            <v>M</v>
          </cell>
          <cell r="C498" t="str">
            <v>B.65 y más</v>
          </cell>
          <cell r="D498">
            <v>3811</v>
          </cell>
          <cell r="E498">
            <v>142369568.31</v>
          </cell>
        </row>
        <row r="499">
          <cell r="A499" t="str">
            <v>Act Administrativas</v>
          </cell>
          <cell r="B499" t="str">
            <v>M</v>
          </cell>
          <cell r="C499" t="str">
            <v>X.No Informada</v>
          </cell>
          <cell r="D499">
            <v>191</v>
          </cell>
          <cell r="E499">
            <v>6134775.3499999996</v>
          </cell>
        </row>
        <row r="500">
          <cell r="A500" t="str">
            <v>Act Administrativas</v>
          </cell>
          <cell r="B500" t="str">
            <v>x</v>
          </cell>
          <cell r="C500" t="str">
            <v>0. TOTAL</v>
          </cell>
          <cell r="D500">
            <v>58</v>
          </cell>
          <cell r="E500">
            <v>940044.93</v>
          </cell>
        </row>
        <row r="501">
          <cell r="A501" t="str">
            <v>Act Administrativas</v>
          </cell>
          <cell r="B501" t="str">
            <v>x</v>
          </cell>
          <cell r="C501" t="str">
            <v>3.25 a 29</v>
          </cell>
          <cell r="D501">
            <v>2</v>
          </cell>
          <cell r="E501">
            <v>58059.47</v>
          </cell>
        </row>
        <row r="502">
          <cell r="A502" t="str">
            <v>Act Administrativas</v>
          </cell>
          <cell r="B502" t="str">
            <v>x</v>
          </cell>
          <cell r="C502" t="str">
            <v>4.30 a 34</v>
          </cell>
          <cell r="D502">
            <v>1</v>
          </cell>
          <cell r="E502">
            <v>18928.09</v>
          </cell>
        </row>
        <row r="503">
          <cell r="A503" t="str">
            <v>Act Administrativas</v>
          </cell>
          <cell r="B503" t="str">
            <v>x</v>
          </cell>
          <cell r="C503" t="str">
            <v>5.35 a 39</v>
          </cell>
          <cell r="D503">
            <v>3</v>
          </cell>
          <cell r="E503">
            <v>90789.07</v>
          </cell>
        </row>
        <row r="504">
          <cell r="A504" t="str">
            <v>Act Administrativas</v>
          </cell>
          <cell r="B504" t="str">
            <v>x</v>
          </cell>
          <cell r="C504" t="str">
            <v>6.40 a 44</v>
          </cell>
          <cell r="D504">
            <v>6</v>
          </cell>
          <cell r="E504">
            <v>146981.20000000001</v>
          </cell>
        </row>
        <row r="505">
          <cell r="A505" t="str">
            <v>Act Administrativas</v>
          </cell>
          <cell r="B505" t="str">
            <v>x</v>
          </cell>
          <cell r="C505" t="str">
            <v>A.60 a 64</v>
          </cell>
          <cell r="D505">
            <v>2</v>
          </cell>
          <cell r="E505">
            <v>59377.54</v>
          </cell>
        </row>
        <row r="506">
          <cell r="A506" t="str">
            <v>Act Administrativas</v>
          </cell>
          <cell r="B506" t="str">
            <v>x</v>
          </cell>
          <cell r="C506" t="str">
            <v>X.No Informada</v>
          </cell>
          <cell r="D506">
            <v>44</v>
          </cell>
          <cell r="E506">
            <v>565909.56000000006</v>
          </cell>
        </row>
        <row r="507">
          <cell r="A507" t="str">
            <v>Act Administrativas</v>
          </cell>
          <cell r="B507" t="str">
            <v>z</v>
          </cell>
          <cell r="C507" t="str">
            <v>0. TOTAL</v>
          </cell>
          <cell r="D507">
            <v>468684</v>
          </cell>
          <cell r="E507">
            <v>15024384249.290001</v>
          </cell>
        </row>
        <row r="508">
          <cell r="A508" t="str">
            <v>Act Administrativas</v>
          </cell>
          <cell r="B508" t="str">
            <v>z</v>
          </cell>
          <cell r="C508" t="str">
            <v>1.Hasta 24</v>
          </cell>
          <cell r="D508">
            <v>65183</v>
          </cell>
          <cell r="E508">
            <v>1498756882.4100001</v>
          </cell>
        </row>
        <row r="509">
          <cell r="A509" t="str">
            <v>Act Administrativas</v>
          </cell>
          <cell r="B509" t="str">
            <v>z</v>
          </cell>
          <cell r="C509" t="str">
            <v>3.25 a 29</v>
          </cell>
          <cell r="D509">
            <v>89950</v>
          </cell>
          <cell r="E509">
            <v>2522377650.3699999</v>
          </cell>
        </row>
        <row r="510">
          <cell r="A510" t="str">
            <v>Act Administrativas</v>
          </cell>
          <cell r="B510" t="str">
            <v>z</v>
          </cell>
          <cell r="C510" t="str">
            <v>4.30 a 34</v>
          </cell>
          <cell r="D510">
            <v>79879</v>
          </cell>
          <cell r="E510">
            <v>2584344364.98</v>
          </cell>
        </row>
        <row r="511">
          <cell r="A511" t="str">
            <v>Act Administrativas</v>
          </cell>
          <cell r="B511" t="str">
            <v>z</v>
          </cell>
          <cell r="C511" t="str">
            <v>5.35 a 39</v>
          </cell>
          <cell r="D511">
            <v>67833</v>
          </cell>
          <cell r="E511">
            <v>2380173964.3499999</v>
          </cell>
        </row>
        <row r="512">
          <cell r="A512" t="str">
            <v>Act Administrativas</v>
          </cell>
          <cell r="B512" t="str">
            <v>z</v>
          </cell>
          <cell r="C512" t="str">
            <v>6.40 a 44</v>
          </cell>
          <cell r="D512">
            <v>56997</v>
          </cell>
          <cell r="E512">
            <v>2084330659.5799999</v>
          </cell>
        </row>
        <row r="513">
          <cell r="A513" t="str">
            <v>Act Administrativas</v>
          </cell>
          <cell r="B513" t="str">
            <v>z</v>
          </cell>
          <cell r="C513" t="str">
            <v>7.45 a 49</v>
          </cell>
          <cell r="D513">
            <v>41833</v>
          </cell>
          <cell r="E513">
            <v>1546019405.1199999</v>
          </cell>
        </row>
        <row r="514">
          <cell r="A514" t="str">
            <v>Act Administrativas</v>
          </cell>
          <cell r="B514" t="str">
            <v>z</v>
          </cell>
          <cell r="C514" t="str">
            <v>8.50 a 54</v>
          </cell>
          <cell r="D514">
            <v>28493</v>
          </cell>
          <cell r="E514">
            <v>1027961250.12</v>
          </cell>
        </row>
        <row r="515">
          <cell r="A515" t="str">
            <v>Act Administrativas</v>
          </cell>
          <cell r="B515" t="str">
            <v>z</v>
          </cell>
          <cell r="C515" t="str">
            <v>9.55 a 59</v>
          </cell>
          <cell r="D515">
            <v>20705</v>
          </cell>
          <cell r="E515">
            <v>737376697.55999994</v>
          </cell>
        </row>
        <row r="516">
          <cell r="A516" t="str">
            <v>Act Administrativas</v>
          </cell>
          <cell r="B516" t="str">
            <v>z</v>
          </cell>
          <cell r="C516" t="str">
            <v>A.60 a 64</v>
          </cell>
          <cell r="D516">
            <v>12137</v>
          </cell>
          <cell r="E516">
            <v>445868948.32999998</v>
          </cell>
        </row>
        <row r="517">
          <cell r="A517" t="str">
            <v>Act Administrativas</v>
          </cell>
          <cell r="B517" t="str">
            <v>z</v>
          </cell>
          <cell r="C517" t="str">
            <v>B.65 y más</v>
          </cell>
          <cell r="D517">
            <v>4749</v>
          </cell>
          <cell r="E517">
            <v>172022112.53</v>
          </cell>
        </row>
        <row r="518">
          <cell r="A518" t="str">
            <v>Act Administrativas</v>
          </cell>
          <cell r="B518" t="str">
            <v>z</v>
          </cell>
          <cell r="C518" t="str">
            <v>X.No Informada</v>
          </cell>
          <cell r="D518">
            <v>925</v>
          </cell>
          <cell r="E518">
            <v>25152313.940000001</v>
          </cell>
        </row>
        <row r="519">
          <cell r="A519" t="str">
            <v>Enseñanza</v>
          </cell>
          <cell r="B519" t="str">
            <v>F</v>
          </cell>
          <cell r="C519" t="str">
            <v>0. TOTAL</v>
          </cell>
          <cell r="D519">
            <v>103126</v>
          </cell>
          <cell r="E519">
            <v>2539846289.73</v>
          </cell>
        </row>
        <row r="520">
          <cell r="A520" t="str">
            <v>Enseñanza</v>
          </cell>
          <cell r="B520" t="str">
            <v>F</v>
          </cell>
          <cell r="C520" t="str">
            <v>1.Hasta 24</v>
          </cell>
          <cell r="D520">
            <v>7062</v>
          </cell>
          <cell r="E520">
            <v>116516363.89</v>
          </cell>
        </row>
        <row r="521">
          <cell r="A521" t="str">
            <v>Enseñanza</v>
          </cell>
          <cell r="B521" t="str">
            <v>F</v>
          </cell>
          <cell r="C521" t="str">
            <v>3.25 a 29</v>
          </cell>
          <cell r="D521">
            <v>14218</v>
          </cell>
          <cell r="E521">
            <v>268695269.61000001</v>
          </cell>
        </row>
        <row r="522">
          <cell r="A522" t="str">
            <v>Enseñanza</v>
          </cell>
          <cell r="B522" t="str">
            <v>F</v>
          </cell>
          <cell r="C522" t="str">
            <v>4.30 a 34</v>
          </cell>
          <cell r="D522">
            <v>15431</v>
          </cell>
          <cell r="E522">
            <v>319708843.37</v>
          </cell>
        </row>
        <row r="523">
          <cell r="A523" t="str">
            <v>Enseñanza</v>
          </cell>
          <cell r="B523" t="str">
            <v>F</v>
          </cell>
          <cell r="C523" t="str">
            <v>5.35 a 39</v>
          </cell>
          <cell r="D523">
            <v>14292</v>
          </cell>
          <cell r="E523">
            <v>320746000.67000002</v>
          </cell>
        </row>
        <row r="524">
          <cell r="A524" t="str">
            <v>Enseñanza</v>
          </cell>
          <cell r="B524" t="str">
            <v>F</v>
          </cell>
          <cell r="C524" t="str">
            <v>6.40 a 44</v>
          </cell>
          <cell r="D524">
            <v>14321</v>
          </cell>
          <cell r="E524">
            <v>362333491.26999998</v>
          </cell>
        </row>
        <row r="525">
          <cell r="A525" t="str">
            <v>Enseñanza</v>
          </cell>
          <cell r="B525" t="str">
            <v>F</v>
          </cell>
          <cell r="C525" t="str">
            <v>7.45 a 49</v>
          </cell>
          <cell r="D525">
            <v>12302</v>
          </cell>
          <cell r="E525">
            <v>344323841.48000002</v>
          </cell>
        </row>
        <row r="526">
          <cell r="A526" t="str">
            <v>Enseñanza</v>
          </cell>
          <cell r="B526" t="str">
            <v>F</v>
          </cell>
          <cell r="C526" t="str">
            <v>8.50 a 54</v>
          </cell>
          <cell r="D526">
            <v>9771</v>
          </cell>
          <cell r="E526">
            <v>292318657.51999998</v>
          </cell>
        </row>
        <row r="527">
          <cell r="A527" t="str">
            <v>Enseñanza</v>
          </cell>
          <cell r="B527" t="str">
            <v>F</v>
          </cell>
          <cell r="C527" t="str">
            <v>9.55 a 59</v>
          </cell>
          <cell r="D527">
            <v>8005</v>
          </cell>
          <cell r="E527">
            <v>260624917.02000001</v>
          </cell>
        </row>
        <row r="528">
          <cell r="A528" t="str">
            <v>Enseñanza</v>
          </cell>
          <cell r="B528" t="str">
            <v>F</v>
          </cell>
          <cell r="C528" t="str">
            <v>A.60 a 64</v>
          </cell>
          <cell r="D528">
            <v>4208</v>
          </cell>
          <cell r="E528">
            <v>149835465.77000001</v>
          </cell>
        </row>
        <row r="529">
          <cell r="A529" t="str">
            <v>Enseñanza</v>
          </cell>
          <cell r="B529" t="str">
            <v>F</v>
          </cell>
          <cell r="C529" t="str">
            <v>B.65 y más</v>
          </cell>
          <cell r="D529">
            <v>2743</v>
          </cell>
          <cell r="E529">
            <v>86807512.370000005</v>
          </cell>
        </row>
        <row r="530">
          <cell r="A530" t="str">
            <v>Enseñanza</v>
          </cell>
          <cell r="B530" t="str">
            <v>F</v>
          </cell>
          <cell r="C530" t="str">
            <v>X.No Informada</v>
          </cell>
          <cell r="D530">
            <v>773</v>
          </cell>
          <cell r="E530">
            <v>17935926.760000002</v>
          </cell>
        </row>
        <row r="531">
          <cell r="A531" t="str">
            <v>Enseñanza</v>
          </cell>
          <cell r="B531" t="str">
            <v>M</v>
          </cell>
          <cell r="C531" t="str">
            <v>0. TOTAL</v>
          </cell>
          <cell r="D531">
            <v>50503</v>
          </cell>
          <cell r="E531">
            <v>1535481739.1199999</v>
          </cell>
        </row>
        <row r="532">
          <cell r="A532" t="str">
            <v>Enseñanza</v>
          </cell>
          <cell r="B532" t="str">
            <v>M</v>
          </cell>
          <cell r="C532" t="str">
            <v>1.Hasta 24</v>
          </cell>
          <cell r="D532">
            <v>2683</v>
          </cell>
          <cell r="E532">
            <v>53205874.460000001</v>
          </cell>
        </row>
        <row r="533">
          <cell r="A533" t="str">
            <v>Enseñanza</v>
          </cell>
          <cell r="B533" t="str">
            <v>M</v>
          </cell>
          <cell r="C533" t="str">
            <v>3.25 a 29</v>
          </cell>
          <cell r="D533">
            <v>5671</v>
          </cell>
          <cell r="E533">
            <v>123145460.09</v>
          </cell>
        </row>
        <row r="534">
          <cell r="A534" t="str">
            <v>Enseñanza</v>
          </cell>
          <cell r="B534" t="str">
            <v>M</v>
          </cell>
          <cell r="C534" t="str">
            <v>4.30 a 34</v>
          </cell>
          <cell r="D534">
            <v>6923</v>
          </cell>
          <cell r="E534">
            <v>169046134.88999999</v>
          </cell>
        </row>
        <row r="535">
          <cell r="A535" t="str">
            <v>Enseñanza</v>
          </cell>
          <cell r="B535" t="str">
            <v>M</v>
          </cell>
          <cell r="C535" t="str">
            <v>5.35 a 39</v>
          </cell>
          <cell r="D535">
            <v>6971</v>
          </cell>
          <cell r="E535">
            <v>187409170.80000001</v>
          </cell>
        </row>
        <row r="536">
          <cell r="A536" t="str">
            <v>Enseñanza</v>
          </cell>
          <cell r="B536" t="str">
            <v>M</v>
          </cell>
          <cell r="C536" t="str">
            <v>6.40 a 44</v>
          </cell>
          <cell r="D536">
            <v>6957</v>
          </cell>
          <cell r="E536">
            <v>210471278.49000001</v>
          </cell>
        </row>
        <row r="537">
          <cell r="A537" t="str">
            <v>Enseñanza</v>
          </cell>
          <cell r="B537" t="str">
            <v>M</v>
          </cell>
          <cell r="C537" t="str">
            <v>7.45 a 49</v>
          </cell>
          <cell r="D537">
            <v>5925</v>
          </cell>
          <cell r="E537">
            <v>199580522.31999999</v>
          </cell>
        </row>
        <row r="538">
          <cell r="A538" t="str">
            <v>Enseñanza</v>
          </cell>
          <cell r="B538" t="str">
            <v>M</v>
          </cell>
          <cell r="C538" t="str">
            <v>8.50 a 54</v>
          </cell>
          <cell r="D538">
            <v>5012</v>
          </cell>
          <cell r="E538">
            <v>180145817.72</v>
          </cell>
        </row>
        <row r="539">
          <cell r="A539" t="str">
            <v>Enseñanza</v>
          </cell>
          <cell r="B539" t="str">
            <v>M</v>
          </cell>
          <cell r="C539" t="str">
            <v>9.55 a 59</v>
          </cell>
          <cell r="D539">
            <v>4321</v>
          </cell>
          <cell r="E539">
            <v>168006024.02000001</v>
          </cell>
        </row>
        <row r="540">
          <cell r="A540" t="str">
            <v>Enseñanza</v>
          </cell>
          <cell r="B540" t="str">
            <v>M</v>
          </cell>
          <cell r="C540" t="str">
            <v>A.60 a 64</v>
          </cell>
          <cell r="D540">
            <v>3321</v>
          </cell>
          <cell r="E540">
            <v>138255108.68000001</v>
          </cell>
        </row>
        <row r="541">
          <cell r="A541" t="str">
            <v>Enseñanza</v>
          </cell>
          <cell r="B541" t="str">
            <v>M</v>
          </cell>
          <cell r="C541" t="str">
            <v>B.65 y más</v>
          </cell>
          <cell r="D541">
            <v>2674</v>
          </cell>
          <cell r="E541">
            <v>105186951.08</v>
          </cell>
        </row>
        <row r="542">
          <cell r="A542" t="str">
            <v>Enseñanza</v>
          </cell>
          <cell r="B542" t="str">
            <v>M</v>
          </cell>
          <cell r="C542" t="str">
            <v>X.No Informada</v>
          </cell>
          <cell r="D542">
            <v>45</v>
          </cell>
          <cell r="E542">
            <v>1029396.57</v>
          </cell>
        </row>
        <row r="543">
          <cell r="A543" t="str">
            <v>Enseñanza</v>
          </cell>
          <cell r="B543" t="str">
            <v>x</v>
          </cell>
          <cell r="C543" t="str">
            <v>0. TOTAL</v>
          </cell>
          <cell r="D543">
            <v>27</v>
          </cell>
          <cell r="E543">
            <v>474720.64</v>
          </cell>
        </row>
        <row r="544">
          <cell r="A544" t="str">
            <v>Enseñanza</v>
          </cell>
          <cell r="B544" t="str">
            <v>x</v>
          </cell>
          <cell r="C544" t="str">
            <v>4.30 a 34</v>
          </cell>
          <cell r="D544">
            <v>2</v>
          </cell>
          <cell r="E544">
            <v>13378.04</v>
          </cell>
        </row>
        <row r="545">
          <cell r="A545" t="str">
            <v>Enseñanza</v>
          </cell>
          <cell r="B545" t="str">
            <v>x</v>
          </cell>
          <cell r="C545" t="str">
            <v>6.40 a 44</v>
          </cell>
          <cell r="D545">
            <v>1</v>
          </cell>
          <cell r="E545">
            <v>17185.439999999999</v>
          </cell>
        </row>
        <row r="546">
          <cell r="A546" t="str">
            <v>Enseñanza</v>
          </cell>
          <cell r="B546" t="str">
            <v>x</v>
          </cell>
          <cell r="C546" t="str">
            <v>7.45 a 49</v>
          </cell>
          <cell r="D546">
            <v>2</v>
          </cell>
          <cell r="E546">
            <v>10445.4</v>
          </cell>
        </row>
        <row r="547">
          <cell r="A547" t="str">
            <v>Enseñanza</v>
          </cell>
          <cell r="B547" t="str">
            <v>x</v>
          </cell>
          <cell r="C547" t="str">
            <v>8.50 a 54</v>
          </cell>
          <cell r="D547">
            <v>6</v>
          </cell>
          <cell r="E547">
            <v>222287.81</v>
          </cell>
        </row>
        <row r="548">
          <cell r="A548" t="str">
            <v>Enseñanza</v>
          </cell>
          <cell r="B548" t="str">
            <v>x</v>
          </cell>
          <cell r="C548" t="str">
            <v>9.55 a 59</v>
          </cell>
          <cell r="D548">
            <v>1</v>
          </cell>
          <cell r="E548">
            <v>7551.84</v>
          </cell>
        </row>
        <row r="549">
          <cell r="A549" t="str">
            <v>Enseñanza</v>
          </cell>
          <cell r="B549" t="str">
            <v>x</v>
          </cell>
          <cell r="C549" t="str">
            <v>A.60 a 64</v>
          </cell>
          <cell r="D549">
            <v>1</v>
          </cell>
          <cell r="E549">
            <v>39202.99</v>
          </cell>
        </row>
        <row r="550">
          <cell r="A550" t="str">
            <v>Enseñanza</v>
          </cell>
          <cell r="B550" t="str">
            <v>x</v>
          </cell>
          <cell r="C550" t="str">
            <v>X.No Informada</v>
          </cell>
          <cell r="D550">
            <v>14</v>
          </cell>
          <cell r="E550">
            <v>164669.12</v>
          </cell>
        </row>
        <row r="551">
          <cell r="A551" t="str">
            <v>Enseñanza</v>
          </cell>
          <cell r="B551" t="str">
            <v>z</v>
          </cell>
          <cell r="C551" t="str">
            <v>0. TOTAL</v>
          </cell>
          <cell r="D551">
            <v>153656</v>
          </cell>
          <cell r="E551">
            <v>4075802749.4899998</v>
          </cell>
        </row>
        <row r="552">
          <cell r="A552" t="str">
            <v>Enseñanza</v>
          </cell>
          <cell r="B552" t="str">
            <v>z</v>
          </cell>
          <cell r="C552" t="str">
            <v>1.Hasta 24</v>
          </cell>
          <cell r="D552">
            <v>9745</v>
          </cell>
          <cell r="E552">
            <v>169722238.34999999</v>
          </cell>
        </row>
        <row r="553">
          <cell r="A553" t="str">
            <v>Enseñanza</v>
          </cell>
          <cell r="B553" t="str">
            <v>z</v>
          </cell>
          <cell r="C553" t="str">
            <v>3.25 a 29</v>
          </cell>
          <cell r="D553">
            <v>19889</v>
          </cell>
          <cell r="E553">
            <v>391840729.69999999</v>
          </cell>
        </row>
        <row r="554">
          <cell r="A554" t="str">
            <v>Enseñanza</v>
          </cell>
          <cell r="B554" t="str">
            <v>z</v>
          </cell>
          <cell r="C554" t="str">
            <v>4.30 a 34</v>
          </cell>
          <cell r="D554">
            <v>22356</v>
          </cell>
          <cell r="E554">
            <v>488768356.30000001</v>
          </cell>
        </row>
        <row r="555">
          <cell r="A555" t="str">
            <v>Enseñanza</v>
          </cell>
          <cell r="B555" t="str">
            <v>z</v>
          </cell>
          <cell r="C555" t="str">
            <v>5.35 a 39</v>
          </cell>
          <cell r="D555">
            <v>21263</v>
          </cell>
          <cell r="E555">
            <v>508155171.47000003</v>
          </cell>
        </row>
        <row r="556">
          <cell r="A556" t="str">
            <v>Enseñanza</v>
          </cell>
          <cell r="B556" t="str">
            <v>z</v>
          </cell>
          <cell r="C556" t="str">
            <v>6.40 a 44</v>
          </cell>
          <cell r="D556">
            <v>21279</v>
          </cell>
          <cell r="E556">
            <v>572821955.20000005</v>
          </cell>
        </row>
        <row r="557">
          <cell r="A557" t="str">
            <v>Enseñanza</v>
          </cell>
          <cell r="B557" t="str">
            <v>z</v>
          </cell>
          <cell r="C557" t="str">
            <v>7.45 a 49</v>
          </cell>
          <cell r="D557">
            <v>18229</v>
          </cell>
          <cell r="E557">
            <v>543914809.20000005</v>
          </cell>
        </row>
        <row r="558">
          <cell r="A558" t="str">
            <v>Enseñanza</v>
          </cell>
          <cell r="B558" t="str">
            <v>z</v>
          </cell>
          <cell r="C558" t="str">
            <v>8.50 a 54</v>
          </cell>
          <cell r="D558">
            <v>14789</v>
          </cell>
          <cell r="E558">
            <v>472686763.05000001</v>
          </cell>
        </row>
        <row r="559">
          <cell r="A559" t="str">
            <v>Enseñanza</v>
          </cell>
          <cell r="B559" t="str">
            <v>z</v>
          </cell>
          <cell r="C559" t="str">
            <v>9.55 a 59</v>
          </cell>
          <cell r="D559">
            <v>12327</v>
          </cell>
          <cell r="E559">
            <v>428638492.88</v>
          </cell>
        </row>
        <row r="560">
          <cell r="A560" t="str">
            <v>Enseñanza</v>
          </cell>
          <cell r="B560" t="str">
            <v>z</v>
          </cell>
          <cell r="C560" t="str">
            <v>A.60 a 64</v>
          </cell>
          <cell r="D560">
            <v>7530</v>
          </cell>
          <cell r="E560">
            <v>288129777.44</v>
          </cell>
        </row>
        <row r="561">
          <cell r="A561" t="str">
            <v>Enseñanza</v>
          </cell>
          <cell r="B561" t="str">
            <v>z</v>
          </cell>
          <cell r="C561" t="str">
            <v>B.65 y más</v>
          </cell>
          <cell r="D561">
            <v>5417</v>
          </cell>
          <cell r="E561">
            <v>191994463.44999999</v>
          </cell>
        </row>
        <row r="562">
          <cell r="A562" t="str">
            <v>Enseñanza</v>
          </cell>
          <cell r="B562" t="str">
            <v>z</v>
          </cell>
          <cell r="C562" t="str">
            <v>X.No Informada</v>
          </cell>
          <cell r="D562">
            <v>832</v>
          </cell>
          <cell r="E562">
            <v>19129992.449999999</v>
          </cell>
        </row>
        <row r="563">
          <cell r="A563" t="str">
            <v>Salud y Serv. Sociales</v>
          </cell>
          <cell r="B563" t="str">
            <v>F</v>
          </cell>
          <cell r="C563" t="str">
            <v>0. TOTAL</v>
          </cell>
          <cell r="D563">
            <v>211157</v>
          </cell>
          <cell r="E563">
            <v>8118152403.3299999</v>
          </cell>
        </row>
        <row r="564">
          <cell r="A564" t="str">
            <v>Salud y Serv. Sociales</v>
          </cell>
          <cell r="B564" t="str">
            <v>F</v>
          </cell>
          <cell r="C564" t="str">
            <v>1.Hasta 24</v>
          </cell>
          <cell r="D564">
            <v>8580</v>
          </cell>
          <cell r="E564">
            <v>231867018.16</v>
          </cell>
        </row>
        <row r="565">
          <cell r="A565" t="str">
            <v>Salud y Serv. Sociales</v>
          </cell>
          <cell r="B565" t="str">
            <v>F</v>
          </cell>
          <cell r="C565" t="str">
            <v>3.25 a 29</v>
          </cell>
          <cell r="D565">
            <v>27940</v>
          </cell>
          <cell r="E565">
            <v>897184697.77999997</v>
          </cell>
        </row>
        <row r="566">
          <cell r="A566" t="str">
            <v>Salud y Serv. Sociales</v>
          </cell>
          <cell r="B566" t="str">
            <v>F</v>
          </cell>
          <cell r="C566" t="str">
            <v>4.30 a 34</v>
          </cell>
          <cell r="D566">
            <v>35513</v>
          </cell>
          <cell r="E566">
            <v>1277498121.0699999</v>
          </cell>
        </row>
        <row r="567">
          <cell r="A567" t="str">
            <v>Salud y Serv. Sociales</v>
          </cell>
          <cell r="B567" t="str">
            <v>F</v>
          </cell>
          <cell r="C567" t="str">
            <v>5.35 a 39</v>
          </cell>
          <cell r="D567">
            <v>35195</v>
          </cell>
          <cell r="E567">
            <v>1337839630.9000001</v>
          </cell>
        </row>
        <row r="568">
          <cell r="A568" t="str">
            <v>Salud y Serv. Sociales</v>
          </cell>
          <cell r="B568" t="str">
            <v>F</v>
          </cell>
          <cell r="C568" t="str">
            <v>6.40 a 44</v>
          </cell>
          <cell r="D568">
            <v>31755</v>
          </cell>
          <cell r="E568">
            <v>1252271774.9100001</v>
          </cell>
        </row>
        <row r="569">
          <cell r="A569" t="str">
            <v>Salud y Serv. Sociales</v>
          </cell>
          <cell r="B569" t="str">
            <v>F</v>
          </cell>
          <cell r="C569" t="str">
            <v>7.45 a 49</v>
          </cell>
          <cell r="D569">
            <v>25075</v>
          </cell>
          <cell r="E569">
            <v>1036605729.91</v>
          </cell>
        </row>
        <row r="570">
          <cell r="A570" t="str">
            <v>Salud y Serv. Sociales</v>
          </cell>
          <cell r="B570" t="str">
            <v>F</v>
          </cell>
          <cell r="C570" t="str">
            <v>8.50 a 54</v>
          </cell>
          <cell r="D570">
            <v>20290</v>
          </cell>
          <cell r="E570">
            <v>888797205.89999998</v>
          </cell>
        </row>
        <row r="571">
          <cell r="A571" t="str">
            <v>Salud y Serv. Sociales</v>
          </cell>
          <cell r="B571" t="str">
            <v>F</v>
          </cell>
          <cell r="C571" t="str">
            <v>9.55 a 59</v>
          </cell>
          <cell r="D571">
            <v>16116</v>
          </cell>
          <cell r="E571">
            <v>724967671.52999997</v>
          </cell>
        </row>
        <row r="572">
          <cell r="A572" t="str">
            <v>Salud y Serv. Sociales</v>
          </cell>
          <cell r="B572" t="str">
            <v>F</v>
          </cell>
          <cell r="C572" t="str">
            <v>A.60 a 64</v>
          </cell>
          <cell r="D572">
            <v>6843</v>
          </cell>
          <cell r="E572">
            <v>320999788.06999999</v>
          </cell>
        </row>
        <row r="573">
          <cell r="A573" t="str">
            <v>Salud y Serv. Sociales</v>
          </cell>
          <cell r="B573" t="str">
            <v>F</v>
          </cell>
          <cell r="C573" t="str">
            <v>B.65 y más</v>
          </cell>
          <cell r="D573">
            <v>2854</v>
          </cell>
          <cell r="E573">
            <v>115779729.92</v>
          </cell>
        </row>
        <row r="574">
          <cell r="A574" t="str">
            <v>Salud y Serv. Sociales</v>
          </cell>
          <cell r="B574" t="str">
            <v>F</v>
          </cell>
          <cell r="C574" t="str">
            <v>X.No Informada</v>
          </cell>
          <cell r="D574">
            <v>996</v>
          </cell>
          <cell r="E574">
            <v>34341035.18</v>
          </cell>
        </row>
        <row r="575">
          <cell r="A575" t="str">
            <v>Salud y Serv. Sociales</v>
          </cell>
          <cell r="B575" t="str">
            <v>M</v>
          </cell>
          <cell r="C575" t="str">
            <v>0. TOTAL</v>
          </cell>
          <cell r="D575">
            <v>77779</v>
          </cell>
          <cell r="E575">
            <v>3768112700.8699999</v>
          </cell>
        </row>
        <row r="576">
          <cell r="A576" t="str">
            <v>Salud y Serv. Sociales</v>
          </cell>
          <cell r="B576" t="str">
            <v>M</v>
          </cell>
          <cell r="C576" t="str">
            <v>1.Hasta 24</v>
          </cell>
          <cell r="D576">
            <v>4138</v>
          </cell>
          <cell r="E576">
            <v>119337025.11</v>
          </cell>
        </row>
        <row r="577">
          <cell r="A577" t="str">
            <v>Salud y Serv. Sociales</v>
          </cell>
          <cell r="B577" t="str">
            <v>M</v>
          </cell>
          <cell r="C577" t="str">
            <v>3.25 a 29</v>
          </cell>
          <cell r="D577">
            <v>11143</v>
          </cell>
          <cell r="E577">
            <v>389624459.23000002</v>
          </cell>
        </row>
        <row r="578">
          <cell r="A578" t="str">
            <v>Salud y Serv. Sociales</v>
          </cell>
          <cell r="B578" t="str">
            <v>M</v>
          </cell>
          <cell r="C578" t="str">
            <v>4.30 a 34</v>
          </cell>
          <cell r="D578">
            <v>13438</v>
          </cell>
          <cell r="E578">
            <v>560111579.75999999</v>
          </cell>
        </row>
        <row r="579">
          <cell r="A579" t="str">
            <v>Salud y Serv. Sociales</v>
          </cell>
          <cell r="B579" t="str">
            <v>M</v>
          </cell>
          <cell r="C579" t="str">
            <v>5.35 a 39</v>
          </cell>
          <cell r="D579">
            <v>12957</v>
          </cell>
          <cell r="E579">
            <v>619503756.05999994</v>
          </cell>
        </row>
        <row r="580">
          <cell r="A580" t="str">
            <v>Salud y Serv. Sociales</v>
          </cell>
          <cell r="B580" t="str">
            <v>M</v>
          </cell>
          <cell r="C580" t="str">
            <v>6.40 a 44</v>
          </cell>
          <cell r="D580">
            <v>10954</v>
          </cell>
          <cell r="E580">
            <v>564901749.00999999</v>
          </cell>
        </row>
        <row r="581">
          <cell r="A581" t="str">
            <v>Salud y Serv. Sociales</v>
          </cell>
          <cell r="B581" t="str">
            <v>M</v>
          </cell>
          <cell r="C581" t="str">
            <v>7.45 a 49</v>
          </cell>
          <cell r="D581">
            <v>8322</v>
          </cell>
          <cell r="E581">
            <v>456648864.13999999</v>
          </cell>
        </row>
        <row r="582">
          <cell r="A582" t="str">
            <v>Salud y Serv. Sociales</v>
          </cell>
          <cell r="B582" t="str">
            <v>M</v>
          </cell>
          <cell r="C582" t="str">
            <v>8.50 a 54</v>
          </cell>
          <cell r="D582">
            <v>6656</v>
          </cell>
          <cell r="E582">
            <v>407787553.13999999</v>
          </cell>
        </row>
        <row r="583">
          <cell r="A583" t="str">
            <v>Salud y Serv. Sociales</v>
          </cell>
          <cell r="B583" t="str">
            <v>M</v>
          </cell>
          <cell r="C583" t="str">
            <v>9.55 a 59</v>
          </cell>
          <cell r="D583">
            <v>4832</v>
          </cell>
          <cell r="E583">
            <v>301464497.87</v>
          </cell>
        </row>
        <row r="584">
          <cell r="A584" t="str">
            <v>Salud y Serv. Sociales</v>
          </cell>
          <cell r="B584" t="str">
            <v>M</v>
          </cell>
          <cell r="C584" t="str">
            <v>A.60 a 64</v>
          </cell>
          <cell r="D584">
            <v>3605</v>
          </cell>
          <cell r="E584">
            <v>237358356.06999999</v>
          </cell>
        </row>
        <row r="585">
          <cell r="A585" t="str">
            <v>Salud y Serv. Sociales</v>
          </cell>
          <cell r="B585" t="str">
            <v>M</v>
          </cell>
          <cell r="C585" t="str">
            <v>B.65 y más</v>
          </cell>
          <cell r="D585">
            <v>1700</v>
          </cell>
          <cell r="E585">
            <v>109900762.64</v>
          </cell>
        </row>
        <row r="586">
          <cell r="A586" t="str">
            <v>Salud y Serv. Sociales</v>
          </cell>
          <cell r="B586" t="str">
            <v>M</v>
          </cell>
          <cell r="C586" t="str">
            <v>X.No Informada</v>
          </cell>
          <cell r="D586">
            <v>34</v>
          </cell>
          <cell r="E586">
            <v>1474097.84</v>
          </cell>
        </row>
        <row r="587">
          <cell r="A587" t="str">
            <v>Salud y Serv. Sociales</v>
          </cell>
          <cell r="B587" t="str">
            <v>x</v>
          </cell>
          <cell r="C587" t="str">
            <v>0. TOTAL</v>
          </cell>
          <cell r="D587">
            <v>32</v>
          </cell>
          <cell r="E587">
            <v>830444.62</v>
          </cell>
        </row>
        <row r="588">
          <cell r="A588" t="str">
            <v>Salud y Serv. Sociales</v>
          </cell>
          <cell r="B588" t="str">
            <v>x</v>
          </cell>
          <cell r="C588" t="str">
            <v>1.Hasta 24</v>
          </cell>
          <cell r="D588">
            <v>1</v>
          </cell>
          <cell r="E588">
            <v>18745.02</v>
          </cell>
        </row>
        <row r="589">
          <cell r="A589" t="str">
            <v>Salud y Serv. Sociales</v>
          </cell>
          <cell r="B589" t="str">
            <v>x</v>
          </cell>
          <cell r="C589" t="str">
            <v>3.25 a 29</v>
          </cell>
          <cell r="D589">
            <v>1</v>
          </cell>
          <cell r="E589">
            <v>25516.33</v>
          </cell>
        </row>
        <row r="590">
          <cell r="A590" t="str">
            <v>Salud y Serv. Sociales</v>
          </cell>
          <cell r="B590" t="str">
            <v>x</v>
          </cell>
          <cell r="C590" t="str">
            <v>5.35 a 39</v>
          </cell>
          <cell r="D590">
            <v>2</v>
          </cell>
          <cell r="E590">
            <v>78911.11</v>
          </cell>
        </row>
        <row r="591">
          <cell r="A591" t="str">
            <v>Salud y Serv. Sociales</v>
          </cell>
          <cell r="B591" t="str">
            <v>x</v>
          </cell>
          <cell r="C591" t="str">
            <v>6.40 a 44</v>
          </cell>
          <cell r="D591">
            <v>2</v>
          </cell>
          <cell r="E591">
            <v>45941.9</v>
          </cell>
        </row>
        <row r="592">
          <cell r="A592" t="str">
            <v>Salud y Serv. Sociales</v>
          </cell>
          <cell r="B592" t="str">
            <v>x</v>
          </cell>
          <cell r="C592" t="str">
            <v>7.45 a 49</v>
          </cell>
          <cell r="D592">
            <v>2</v>
          </cell>
          <cell r="E592">
            <v>121880.02</v>
          </cell>
        </row>
        <row r="593">
          <cell r="A593" t="str">
            <v>Salud y Serv. Sociales</v>
          </cell>
          <cell r="B593" t="str">
            <v>x</v>
          </cell>
          <cell r="C593" t="str">
            <v>8.50 a 54</v>
          </cell>
          <cell r="D593">
            <v>1</v>
          </cell>
          <cell r="E593">
            <v>74287</v>
          </cell>
        </row>
        <row r="594">
          <cell r="A594" t="str">
            <v>Salud y Serv. Sociales</v>
          </cell>
          <cell r="B594" t="str">
            <v>x</v>
          </cell>
          <cell r="C594" t="str">
            <v>9.55 a 59</v>
          </cell>
          <cell r="D594">
            <v>1</v>
          </cell>
          <cell r="E594">
            <v>42792.4</v>
          </cell>
        </row>
        <row r="595">
          <cell r="A595" t="str">
            <v>Salud y Serv. Sociales</v>
          </cell>
          <cell r="B595" t="str">
            <v>x</v>
          </cell>
          <cell r="C595" t="str">
            <v>A.60 a 64</v>
          </cell>
          <cell r="D595">
            <v>1</v>
          </cell>
          <cell r="E595">
            <v>2760</v>
          </cell>
        </row>
        <row r="596">
          <cell r="A596" t="str">
            <v>Salud y Serv. Sociales</v>
          </cell>
          <cell r="B596" t="str">
            <v>x</v>
          </cell>
          <cell r="C596" t="str">
            <v>B.65 y más</v>
          </cell>
          <cell r="D596">
            <v>1</v>
          </cell>
          <cell r="E596">
            <v>11374.81</v>
          </cell>
        </row>
        <row r="597">
          <cell r="A597" t="str">
            <v>Salud y Serv. Sociales</v>
          </cell>
          <cell r="B597" t="str">
            <v>x</v>
          </cell>
          <cell r="C597" t="str">
            <v>X.No Informada</v>
          </cell>
          <cell r="D597">
            <v>20</v>
          </cell>
          <cell r="E597">
            <v>408236.03</v>
          </cell>
        </row>
        <row r="598">
          <cell r="A598" t="str">
            <v>Salud y Serv. Sociales</v>
          </cell>
          <cell r="B598" t="str">
            <v>z</v>
          </cell>
          <cell r="C598" t="str">
            <v>0. TOTAL</v>
          </cell>
          <cell r="D598">
            <v>288968</v>
          </cell>
          <cell r="E598">
            <v>11887095548.82</v>
          </cell>
        </row>
        <row r="599">
          <cell r="A599" t="str">
            <v>Salud y Serv. Sociales</v>
          </cell>
          <cell r="B599" t="str">
            <v>z</v>
          </cell>
          <cell r="C599" t="str">
            <v>1.Hasta 24</v>
          </cell>
          <cell r="D599">
            <v>12719</v>
          </cell>
          <cell r="E599">
            <v>351222788.29000002</v>
          </cell>
        </row>
        <row r="600">
          <cell r="A600" t="str">
            <v>Salud y Serv. Sociales</v>
          </cell>
          <cell r="B600" t="str">
            <v>z</v>
          </cell>
          <cell r="C600" t="str">
            <v>3.25 a 29</v>
          </cell>
          <cell r="D600">
            <v>39084</v>
          </cell>
          <cell r="E600">
            <v>1286834673.3399999</v>
          </cell>
        </row>
        <row r="601">
          <cell r="A601" t="str">
            <v>Salud y Serv. Sociales</v>
          </cell>
          <cell r="B601" t="str">
            <v>z</v>
          </cell>
          <cell r="C601" t="str">
            <v>4.30 a 34</v>
          </cell>
          <cell r="D601">
            <v>48951</v>
          </cell>
          <cell r="E601">
            <v>1837609700.8299999</v>
          </cell>
        </row>
        <row r="602">
          <cell r="A602" t="str">
            <v>Salud y Serv. Sociales</v>
          </cell>
          <cell r="B602" t="str">
            <v>z</v>
          </cell>
          <cell r="C602" t="str">
            <v>5.35 a 39</v>
          </cell>
          <cell r="D602">
            <v>48154</v>
          </cell>
          <cell r="E602">
            <v>1957422298.0699999</v>
          </cell>
        </row>
        <row r="603">
          <cell r="A603" t="str">
            <v>Salud y Serv. Sociales</v>
          </cell>
          <cell r="B603" t="str">
            <v>z</v>
          </cell>
          <cell r="C603" t="str">
            <v>6.40 a 44</v>
          </cell>
          <cell r="D603">
            <v>42711</v>
          </cell>
          <cell r="E603">
            <v>1817219465.8199999</v>
          </cell>
        </row>
        <row r="604">
          <cell r="A604" t="str">
            <v>Salud y Serv. Sociales</v>
          </cell>
          <cell r="B604" t="str">
            <v>z</v>
          </cell>
          <cell r="C604" t="str">
            <v>7.45 a 49</v>
          </cell>
          <cell r="D604">
            <v>33399</v>
          </cell>
          <cell r="E604">
            <v>1493376474.0699999</v>
          </cell>
        </row>
        <row r="605">
          <cell r="A605" t="str">
            <v>Salud y Serv. Sociales</v>
          </cell>
          <cell r="B605" t="str">
            <v>z</v>
          </cell>
          <cell r="C605" t="str">
            <v>8.50 a 54</v>
          </cell>
          <cell r="D605">
            <v>26947</v>
          </cell>
          <cell r="E605">
            <v>1296659046.04</v>
          </cell>
        </row>
        <row r="606">
          <cell r="A606" t="str">
            <v>Salud y Serv. Sociales</v>
          </cell>
          <cell r="B606" t="str">
            <v>z</v>
          </cell>
          <cell r="C606" t="str">
            <v>9.55 a 59</v>
          </cell>
          <cell r="D606">
            <v>20949</v>
          </cell>
          <cell r="E606">
            <v>1026474961.8</v>
          </cell>
        </row>
        <row r="607">
          <cell r="A607" t="str">
            <v>Salud y Serv. Sociales</v>
          </cell>
          <cell r="B607" t="str">
            <v>z</v>
          </cell>
          <cell r="C607" t="str">
            <v>A.60 a 64</v>
          </cell>
          <cell r="D607">
            <v>10449</v>
          </cell>
          <cell r="E607">
            <v>558360904.13999999</v>
          </cell>
        </row>
        <row r="608">
          <cell r="A608" t="str">
            <v>Salud y Serv. Sociales</v>
          </cell>
          <cell r="B608" t="str">
            <v>z</v>
          </cell>
          <cell r="C608" t="str">
            <v>B.65 y más</v>
          </cell>
          <cell r="D608">
            <v>4555</v>
          </cell>
          <cell r="E608">
            <v>225691867.37</v>
          </cell>
        </row>
        <row r="609">
          <cell r="A609" t="str">
            <v>Salud y Serv. Sociales</v>
          </cell>
          <cell r="B609" t="str">
            <v>z</v>
          </cell>
          <cell r="C609" t="str">
            <v>X.No Informada</v>
          </cell>
          <cell r="D609">
            <v>1050</v>
          </cell>
          <cell r="E609">
            <v>36223369.049999997</v>
          </cell>
        </row>
        <row r="610">
          <cell r="A610" t="str">
            <v>Serv. Cult y Deportivos</v>
          </cell>
          <cell r="B610" t="str">
            <v>F</v>
          </cell>
          <cell r="C610" t="str">
            <v>0. TOTAL</v>
          </cell>
          <cell r="D610">
            <v>32050</v>
          </cell>
          <cell r="E610">
            <v>1030394982.0700001</v>
          </cell>
        </row>
        <row r="611">
          <cell r="A611" t="str">
            <v>Serv. Cult y Deportivos</v>
          </cell>
          <cell r="B611" t="str">
            <v>F</v>
          </cell>
          <cell r="C611" t="str">
            <v>1.Hasta 24</v>
          </cell>
          <cell r="D611">
            <v>4126</v>
          </cell>
          <cell r="E611">
            <v>69633603.299999997</v>
          </cell>
        </row>
        <row r="612">
          <cell r="A612" t="str">
            <v>Serv. Cult y Deportivos</v>
          </cell>
          <cell r="B612" t="str">
            <v>F</v>
          </cell>
          <cell r="C612" t="str">
            <v>3.25 a 29</v>
          </cell>
          <cell r="D612">
            <v>5636</v>
          </cell>
          <cell r="E612">
            <v>139340967.25</v>
          </cell>
        </row>
        <row r="613">
          <cell r="A613" t="str">
            <v>Serv. Cult y Deportivos</v>
          </cell>
          <cell r="B613" t="str">
            <v>F</v>
          </cell>
          <cell r="C613" t="str">
            <v>4.30 a 34</v>
          </cell>
          <cell r="D613">
            <v>5680</v>
          </cell>
          <cell r="E613">
            <v>184684313.37</v>
          </cell>
        </row>
        <row r="614">
          <cell r="A614" t="str">
            <v>Serv. Cult y Deportivos</v>
          </cell>
          <cell r="B614" t="str">
            <v>F</v>
          </cell>
          <cell r="C614" t="str">
            <v>5.35 a 39</v>
          </cell>
          <cell r="D614">
            <v>5377</v>
          </cell>
          <cell r="E614">
            <v>202079832.56</v>
          </cell>
        </row>
        <row r="615">
          <cell r="A615" t="str">
            <v>Serv. Cult y Deportivos</v>
          </cell>
          <cell r="B615" t="str">
            <v>F</v>
          </cell>
          <cell r="C615" t="str">
            <v>6.40 a 44</v>
          </cell>
          <cell r="D615">
            <v>4414</v>
          </cell>
          <cell r="E615">
            <v>173911277.33000001</v>
          </cell>
        </row>
        <row r="616">
          <cell r="A616" t="str">
            <v>Serv. Cult y Deportivos</v>
          </cell>
          <cell r="B616" t="str">
            <v>F</v>
          </cell>
          <cell r="C616" t="str">
            <v>7.45 a 49</v>
          </cell>
          <cell r="D616">
            <v>2669</v>
          </cell>
          <cell r="E616">
            <v>101604910.87</v>
          </cell>
        </row>
        <row r="617">
          <cell r="A617" t="str">
            <v>Serv. Cult y Deportivos</v>
          </cell>
          <cell r="B617" t="str">
            <v>F</v>
          </cell>
          <cell r="C617" t="str">
            <v>8.50 a 54</v>
          </cell>
          <cell r="D617">
            <v>1782</v>
          </cell>
          <cell r="E617">
            <v>68525314.599999994</v>
          </cell>
        </row>
        <row r="618">
          <cell r="A618" t="str">
            <v>Serv. Cult y Deportivos</v>
          </cell>
          <cell r="B618" t="str">
            <v>F</v>
          </cell>
          <cell r="C618" t="str">
            <v>9.55 a 59</v>
          </cell>
          <cell r="D618">
            <v>1282</v>
          </cell>
          <cell r="E618">
            <v>49429847.240000002</v>
          </cell>
        </row>
        <row r="619">
          <cell r="A619" t="str">
            <v>Serv. Cult y Deportivos</v>
          </cell>
          <cell r="B619" t="str">
            <v>F</v>
          </cell>
          <cell r="C619" t="str">
            <v>A.60 a 64</v>
          </cell>
          <cell r="D619">
            <v>625</v>
          </cell>
          <cell r="E619">
            <v>25541119.350000001</v>
          </cell>
        </row>
        <row r="620">
          <cell r="A620" t="str">
            <v>Serv. Cult y Deportivos</v>
          </cell>
          <cell r="B620" t="str">
            <v>F</v>
          </cell>
          <cell r="C620" t="str">
            <v>B.65 y más</v>
          </cell>
          <cell r="D620">
            <v>319</v>
          </cell>
          <cell r="E620">
            <v>11163636.710000001</v>
          </cell>
        </row>
        <row r="621">
          <cell r="A621" t="str">
            <v>Serv. Cult y Deportivos</v>
          </cell>
          <cell r="B621" t="str">
            <v>F</v>
          </cell>
          <cell r="C621" t="str">
            <v>X.No Informada</v>
          </cell>
          <cell r="D621">
            <v>140</v>
          </cell>
          <cell r="E621">
            <v>4480159.49</v>
          </cell>
        </row>
        <row r="622">
          <cell r="A622" t="str">
            <v>Serv. Cult y Deportivos</v>
          </cell>
          <cell r="B622" t="str">
            <v>M</v>
          </cell>
          <cell r="C622" t="str">
            <v>0. TOTAL</v>
          </cell>
          <cell r="D622">
            <v>49961</v>
          </cell>
          <cell r="E622">
            <v>1996460623.1800001</v>
          </cell>
        </row>
        <row r="623">
          <cell r="A623" t="str">
            <v>Serv. Cult y Deportivos</v>
          </cell>
          <cell r="B623" t="str">
            <v>M</v>
          </cell>
          <cell r="C623" t="str">
            <v>1.Hasta 24</v>
          </cell>
          <cell r="D623">
            <v>5950</v>
          </cell>
          <cell r="E623">
            <v>109292363.7</v>
          </cell>
        </row>
        <row r="624">
          <cell r="A624" t="str">
            <v>Serv. Cult y Deportivos</v>
          </cell>
          <cell r="B624" t="str">
            <v>M</v>
          </cell>
          <cell r="C624" t="str">
            <v>3.25 a 29</v>
          </cell>
          <cell r="D624">
            <v>7704</v>
          </cell>
          <cell r="E624">
            <v>214451877.53999999</v>
          </cell>
        </row>
        <row r="625">
          <cell r="A625" t="str">
            <v>Serv. Cult y Deportivos</v>
          </cell>
          <cell r="B625" t="str">
            <v>M</v>
          </cell>
          <cell r="C625" t="str">
            <v>4.30 a 34</v>
          </cell>
          <cell r="D625">
            <v>7799</v>
          </cell>
          <cell r="E625">
            <v>276037243.38999999</v>
          </cell>
        </row>
        <row r="626">
          <cell r="A626" t="str">
            <v>Serv. Cult y Deportivos</v>
          </cell>
          <cell r="B626" t="str">
            <v>M</v>
          </cell>
          <cell r="C626" t="str">
            <v>5.35 a 39</v>
          </cell>
          <cell r="D626">
            <v>7742</v>
          </cell>
          <cell r="E626">
            <v>333278031.61000001</v>
          </cell>
        </row>
        <row r="627">
          <cell r="A627" t="str">
            <v>Serv. Cult y Deportivos</v>
          </cell>
          <cell r="B627" t="str">
            <v>M</v>
          </cell>
          <cell r="C627" t="str">
            <v>6.40 a 44</v>
          </cell>
          <cell r="D627">
            <v>6695</v>
          </cell>
          <cell r="E627">
            <v>324672078.75</v>
          </cell>
        </row>
        <row r="628">
          <cell r="A628" t="str">
            <v>Serv. Cult y Deportivos</v>
          </cell>
          <cell r="B628" t="str">
            <v>M</v>
          </cell>
          <cell r="C628" t="str">
            <v>7.45 a 49</v>
          </cell>
          <cell r="D628">
            <v>4666</v>
          </cell>
          <cell r="E628">
            <v>227961467.71000001</v>
          </cell>
        </row>
        <row r="629">
          <cell r="A629" t="str">
            <v>Serv. Cult y Deportivos</v>
          </cell>
          <cell r="B629" t="str">
            <v>M</v>
          </cell>
          <cell r="C629" t="str">
            <v>8.50 a 54</v>
          </cell>
          <cell r="D629">
            <v>3503</v>
          </cell>
          <cell r="E629">
            <v>185519309.56999999</v>
          </cell>
        </row>
        <row r="630">
          <cell r="A630" t="str">
            <v>Serv. Cult y Deportivos</v>
          </cell>
          <cell r="B630" t="str">
            <v>M</v>
          </cell>
          <cell r="C630" t="str">
            <v>9.55 a 59</v>
          </cell>
          <cell r="D630">
            <v>2744</v>
          </cell>
          <cell r="E630">
            <v>151432548.75999999</v>
          </cell>
        </row>
        <row r="631">
          <cell r="A631" t="str">
            <v>Serv. Cult y Deportivos</v>
          </cell>
          <cell r="B631" t="str">
            <v>M</v>
          </cell>
          <cell r="C631" t="str">
            <v>A.60 a 64</v>
          </cell>
          <cell r="D631">
            <v>2026</v>
          </cell>
          <cell r="E631">
            <v>120145212.23</v>
          </cell>
        </row>
        <row r="632">
          <cell r="A632" t="str">
            <v>Serv. Cult y Deportivos</v>
          </cell>
          <cell r="B632" t="str">
            <v>M</v>
          </cell>
          <cell r="C632" t="str">
            <v>B.65 y más</v>
          </cell>
          <cell r="D632">
            <v>1102</v>
          </cell>
          <cell r="E632">
            <v>52715035.109999999</v>
          </cell>
        </row>
        <row r="633">
          <cell r="A633" t="str">
            <v>Serv. Cult y Deportivos</v>
          </cell>
          <cell r="B633" t="str">
            <v>M</v>
          </cell>
          <cell r="C633" t="str">
            <v>X.No Informada</v>
          </cell>
          <cell r="D633">
            <v>30</v>
          </cell>
          <cell r="E633">
            <v>955454.81</v>
          </cell>
        </row>
        <row r="634">
          <cell r="A634" t="str">
            <v>Serv. Cult y Deportivos</v>
          </cell>
          <cell r="B634" t="str">
            <v>x</v>
          </cell>
          <cell r="C634" t="str">
            <v>0. TOTAL</v>
          </cell>
          <cell r="D634">
            <v>19</v>
          </cell>
          <cell r="E634">
            <v>299606.8</v>
          </cell>
        </row>
        <row r="635">
          <cell r="A635" t="str">
            <v>Serv. Cult y Deportivos</v>
          </cell>
          <cell r="B635" t="str">
            <v>x</v>
          </cell>
          <cell r="C635" t="str">
            <v>X.No Informada</v>
          </cell>
          <cell r="D635">
            <v>19</v>
          </cell>
          <cell r="E635">
            <v>299606.8</v>
          </cell>
        </row>
        <row r="636">
          <cell r="A636" t="str">
            <v>Serv. Cult y Deportivos</v>
          </cell>
          <cell r="B636" t="str">
            <v>z</v>
          </cell>
          <cell r="C636" t="str">
            <v>0. TOTAL</v>
          </cell>
          <cell r="D636">
            <v>82030</v>
          </cell>
          <cell r="E636">
            <v>3027155212.0500002</v>
          </cell>
        </row>
        <row r="637">
          <cell r="A637" t="str">
            <v>Serv. Cult y Deportivos</v>
          </cell>
          <cell r="B637" t="str">
            <v>z</v>
          </cell>
          <cell r="C637" t="str">
            <v>1.Hasta 24</v>
          </cell>
          <cell r="D637">
            <v>10076</v>
          </cell>
          <cell r="E637">
            <v>178925967</v>
          </cell>
        </row>
        <row r="638">
          <cell r="A638" t="str">
            <v>Serv. Cult y Deportivos</v>
          </cell>
          <cell r="B638" t="str">
            <v>z</v>
          </cell>
          <cell r="C638" t="str">
            <v>3.25 a 29</v>
          </cell>
          <cell r="D638">
            <v>13340</v>
          </cell>
          <cell r="E638">
            <v>353792844.79000002</v>
          </cell>
        </row>
        <row r="639">
          <cell r="A639" t="str">
            <v>Serv. Cult y Deportivos</v>
          </cell>
          <cell r="B639" t="str">
            <v>z</v>
          </cell>
          <cell r="C639" t="str">
            <v>4.30 a 34</v>
          </cell>
          <cell r="D639">
            <v>13479</v>
          </cell>
          <cell r="E639">
            <v>460721556.75999999</v>
          </cell>
        </row>
        <row r="640">
          <cell r="A640" t="str">
            <v>Serv. Cult y Deportivos</v>
          </cell>
          <cell r="B640" t="str">
            <v>z</v>
          </cell>
          <cell r="C640" t="str">
            <v>5.35 a 39</v>
          </cell>
          <cell r="D640">
            <v>13119</v>
          </cell>
          <cell r="E640">
            <v>535357864.17000002</v>
          </cell>
        </row>
        <row r="641">
          <cell r="A641" t="str">
            <v>Serv. Cult y Deportivos</v>
          </cell>
          <cell r="B641" t="str">
            <v>z</v>
          </cell>
          <cell r="C641" t="str">
            <v>6.40 a 44</v>
          </cell>
          <cell r="D641">
            <v>11109</v>
          </cell>
          <cell r="E641">
            <v>498583356.07999998</v>
          </cell>
        </row>
        <row r="642">
          <cell r="A642" t="str">
            <v>Serv. Cult y Deportivos</v>
          </cell>
          <cell r="B642" t="str">
            <v>z</v>
          </cell>
          <cell r="C642" t="str">
            <v>7.45 a 49</v>
          </cell>
          <cell r="D642">
            <v>7335</v>
          </cell>
          <cell r="E642">
            <v>329566378.57999998</v>
          </cell>
        </row>
        <row r="643">
          <cell r="A643" t="str">
            <v>Serv. Cult y Deportivos</v>
          </cell>
          <cell r="B643" t="str">
            <v>z</v>
          </cell>
          <cell r="C643" t="str">
            <v>8.50 a 54</v>
          </cell>
          <cell r="D643">
            <v>5285</v>
          </cell>
          <cell r="E643">
            <v>254044624.16999999</v>
          </cell>
        </row>
        <row r="644">
          <cell r="A644" t="str">
            <v>Serv. Cult y Deportivos</v>
          </cell>
          <cell r="B644" t="str">
            <v>z</v>
          </cell>
          <cell r="C644" t="str">
            <v>9.55 a 59</v>
          </cell>
          <cell r="D644">
            <v>4026</v>
          </cell>
          <cell r="E644">
            <v>200862396</v>
          </cell>
        </row>
        <row r="645">
          <cell r="A645" t="str">
            <v>Serv. Cult y Deportivos</v>
          </cell>
          <cell r="B645" t="str">
            <v>z</v>
          </cell>
          <cell r="C645" t="str">
            <v>A.60 a 64</v>
          </cell>
          <cell r="D645">
            <v>2651</v>
          </cell>
          <cell r="E645">
            <v>145686331.58000001</v>
          </cell>
        </row>
        <row r="646">
          <cell r="A646" t="str">
            <v>Serv. Cult y Deportivos</v>
          </cell>
          <cell r="B646" t="str">
            <v>z</v>
          </cell>
          <cell r="C646" t="str">
            <v>B.65 y más</v>
          </cell>
          <cell r="D646">
            <v>1421</v>
          </cell>
          <cell r="E646">
            <v>63878671.82</v>
          </cell>
        </row>
        <row r="647">
          <cell r="A647" t="str">
            <v>Serv. Cult y Deportivos</v>
          </cell>
          <cell r="B647" t="str">
            <v>z</v>
          </cell>
          <cell r="C647" t="str">
            <v>X.No Informada</v>
          </cell>
          <cell r="D647">
            <v>189</v>
          </cell>
          <cell r="E647">
            <v>5735221.0999999996</v>
          </cell>
        </row>
        <row r="648">
          <cell r="A648" t="str">
            <v>Asoc y Serv. Personales</v>
          </cell>
          <cell r="B648" t="str">
            <v>F</v>
          </cell>
          <cell r="C648" t="str">
            <v>0. TOTAL</v>
          </cell>
          <cell r="D648">
            <v>114443</v>
          </cell>
          <cell r="E648">
            <v>4686676572.3999996</v>
          </cell>
        </row>
        <row r="649">
          <cell r="A649" t="str">
            <v>Asoc y Serv. Personales</v>
          </cell>
          <cell r="B649" t="str">
            <v>F</v>
          </cell>
          <cell r="C649" t="str">
            <v>1.Hasta 24</v>
          </cell>
          <cell r="D649">
            <v>5926</v>
          </cell>
          <cell r="E649">
            <v>138911792.61000001</v>
          </cell>
        </row>
        <row r="650">
          <cell r="A650" t="str">
            <v>Asoc y Serv. Personales</v>
          </cell>
          <cell r="B650" t="str">
            <v>F</v>
          </cell>
          <cell r="C650" t="str">
            <v>3.25 a 29</v>
          </cell>
          <cell r="D650">
            <v>12548</v>
          </cell>
          <cell r="E650">
            <v>384675364.73000002</v>
          </cell>
        </row>
        <row r="651">
          <cell r="A651" t="str">
            <v>Asoc y Serv. Personales</v>
          </cell>
          <cell r="B651" t="str">
            <v>F</v>
          </cell>
          <cell r="C651" t="str">
            <v>4.30 a 34</v>
          </cell>
          <cell r="D651">
            <v>15472</v>
          </cell>
          <cell r="E651">
            <v>571768827.47000003</v>
          </cell>
        </row>
        <row r="652">
          <cell r="A652" t="str">
            <v>Asoc y Serv. Personales</v>
          </cell>
          <cell r="B652" t="str">
            <v>F</v>
          </cell>
          <cell r="C652" t="str">
            <v>5.35 a 39</v>
          </cell>
          <cell r="D652">
            <v>16058</v>
          </cell>
          <cell r="E652">
            <v>641959443.27999997</v>
          </cell>
        </row>
        <row r="653">
          <cell r="A653" t="str">
            <v>Asoc y Serv. Personales</v>
          </cell>
          <cell r="B653" t="str">
            <v>F</v>
          </cell>
          <cell r="C653" t="str">
            <v>6.40 a 44</v>
          </cell>
          <cell r="D653">
            <v>16251</v>
          </cell>
          <cell r="E653">
            <v>687113616.54999995</v>
          </cell>
        </row>
        <row r="654">
          <cell r="A654" t="str">
            <v>Asoc y Serv. Personales</v>
          </cell>
          <cell r="B654" t="str">
            <v>F</v>
          </cell>
          <cell r="C654" t="str">
            <v>7.45 a 49</v>
          </cell>
          <cell r="D654">
            <v>14478</v>
          </cell>
          <cell r="E654">
            <v>647134856.75999999</v>
          </cell>
        </row>
        <row r="655">
          <cell r="A655" t="str">
            <v>Asoc y Serv. Personales</v>
          </cell>
          <cell r="B655" t="str">
            <v>F</v>
          </cell>
          <cell r="C655" t="str">
            <v>8.50 a 54</v>
          </cell>
          <cell r="D655">
            <v>12237</v>
          </cell>
          <cell r="E655">
            <v>564985780.10000002</v>
          </cell>
        </row>
        <row r="656">
          <cell r="A656" t="str">
            <v>Asoc y Serv. Personales</v>
          </cell>
          <cell r="B656" t="str">
            <v>F</v>
          </cell>
          <cell r="C656" t="str">
            <v>9.55 a 59</v>
          </cell>
          <cell r="D656">
            <v>11069</v>
          </cell>
          <cell r="E656">
            <v>543920126.45000005</v>
          </cell>
        </row>
        <row r="657">
          <cell r="A657" t="str">
            <v>Asoc y Serv. Personales</v>
          </cell>
          <cell r="B657" t="str">
            <v>F</v>
          </cell>
          <cell r="C657" t="str">
            <v>A.60 a 64</v>
          </cell>
          <cell r="D657">
            <v>5850</v>
          </cell>
          <cell r="E657">
            <v>305747208.91000003</v>
          </cell>
        </row>
        <row r="658">
          <cell r="A658" t="str">
            <v>Asoc y Serv. Personales</v>
          </cell>
          <cell r="B658" t="str">
            <v>F</v>
          </cell>
          <cell r="C658" t="str">
            <v>B.65 y más</v>
          </cell>
          <cell r="D658">
            <v>3813</v>
          </cell>
          <cell r="E658">
            <v>174710060.05000001</v>
          </cell>
        </row>
        <row r="659">
          <cell r="A659" t="str">
            <v>Asoc y Serv. Personales</v>
          </cell>
          <cell r="B659" t="str">
            <v>F</v>
          </cell>
          <cell r="C659" t="str">
            <v>X.No Informada</v>
          </cell>
          <cell r="D659">
            <v>741</v>
          </cell>
          <cell r="E659">
            <v>25749495.489999998</v>
          </cell>
        </row>
        <row r="660">
          <cell r="A660" t="str">
            <v>Asoc y Serv. Personales</v>
          </cell>
          <cell r="B660" t="str">
            <v>M</v>
          </cell>
          <cell r="C660" t="str">
            <v>0. TOTAL</v>
          </cell>
          <cell r="D660">
            <v>134804</v>
          </cell>
          <cell r="E660">
            <v>7303029339.6199999</v>
          </cell>
        </row>
        <row r="661">
          <cell r="A661" t="str">
            <v>Asoc y Serv. Personales</v>
          </cell>
          <cell r="B661" t="str">
            <v>M</v>
          </cell>
          <cell r="C661" t="str">
            <v>1.Hasta 24</v>
          </cell>
          <cell r="D661">
            <v>6866</v>
          </cell>
          <cell r="E661">
            <v>194059002.88</v>
          </cell>
        </row>
        <row r="662">
          <cell r="A662" t="str">
            <v>Asoc y Serv. Personales</v>
          </cell>
          <cell r="B662" t="str">
            <v>M</v>
          </cell>
          <cell r="C662" t="str">
            <v>3.25 a 29</v>
          </cell>
          <cell r="D662">
            <v>12369</v>
          </cell>
          <cell r="E662">
            <v>453094910.41000003</v>
          </cell>
        </row>
        <row r="663">
          <cell r="A663" t="str">
            <v>Asoc y Serv. Personales</v>
          </cell>
          <cell r="B663" t="str">
            <v>M</v>
          </cell>
          <cell r="C663" t="str">
            <v>4.30 a 34</v>
          </cell>
          <cell r="D663">
            <v>15270</v>
          </cell>
          <cell r="E663">
            <v>658535088.41999996</v>
          </cell>
        </row>
        <row r="664">
          <cell r="A664" t="str">
            <v>Asoc y Serv. Personales</v>
          </cell>
          <cell r="B664" t="str">
            <v>M</v>
          </cell>
          <cell r="C664" t="str">
            <v>5.35 a 39</v>
          </cell>
          <cell r="D664">
            <v>16589</v>
          </cell>
          <cell r="E664">
            <v>815970948.25999999</v>
          </cell>
        </row>
        <row r="665">
          <cell r="A665" t="str">
            <v>Asoc y Serv. Personales</v>
          </cell>
          <cell r="B665" t="str">
            <v>M</v>
          </cell>
          <cell r="C665" t="str">
            <v>6.40 a 44</v>
          </cell>
          <cell r="D665">
            <v>17941</v>
          </cell>
          <cell r="E665">
            <v>983652684.35000002</v>
          </cell>
        </row>
        <row r="666">
          <cell r="A666" t="str">
            <v>Asoc y Serv. Personales</v>
          </cell>
          <cell r="B666" t="str">
            <v>M</v>
          </cell>
          <cell r="C666" t="str">
            <v>7.45 a 49</v>
          </cell>
          <cell r="D666">
            <v>16453</v>
          </cell>
          <cell r="E666">
            <v>967085375.38</v>
          </cell>
        </row>
        <row r="667">
          <cell r="A667" t="str">
            <v>Asoc y Serv. Personales</v>
          </cell>
          <cell r="B667" t="str">
            <v>M</v>
          </cell>
          <cell r="C667" t="str">
            <v>8.50 a 54</v>
          </cell>
          <cell r="D667">
            <v>14934</v>
          </cell>
          <cell r="E667">
            <v>923881326.64999998</v>
          </cell>
        </row>
        <row r="668">
          <cell r="A668" t="str">
            <v>Asoc y Serv. Personales</v>
          </cell>
          <cell r="B668" t="str">
            <v>M</v>
          </cell>
          <cell r="C668" t="str">
            <v>9.55 a 59</v>
          </cell>
          <cell r="D668">
            <v>14210</v>
          </cell>
          <cell r="E668">
            <v>928923889.51999998</v>
          </cell>
        </row>
        <row r="669">
          <cell r="A669" t="str">
            <v>Asoc y Serv. Personales</v>
          </cell>
          <cell r="B669" t="str">
            <v>M</v>
          </cell>
          <cell r="C669" t="str">
            <v>A.60 a 64</v>
          </cell>
          <cell r="D669">
            <v>12149</v>
          </cell>
          <cell r="E669">
            <v>845058279.63999999</v>
          </cell>
        </row>
        <row r="670">
          <cell r="A670" t="str">
            <v>Asoc y Serv. Personales</v>
          </cell>
          <cell r="B670" t="str">
            <v>M</v>
          </cell>
          <cell r="C670" t="str">
            <v>B.65 y más</v>
          </cell>
          <cell r="D670">
            <v>7959</v>
          </cell>
          <cell r="E670">
            <v>529838594.68000001</v>
          </cell>
        </row>
        <row r="671">
          <cell r="A671" t="str">
            <v>Asoc y Serv. Personales</v>
          </cell>
          <cell r="B671" t="str">
            <v>M</v>
          </cell>
          <cell r="C671" t="str">
            <v>X.No Informada</v>
          </cell>
          <cell r="D671">
            <v>64</v>
          </cell>
          <cell r="E671">
            <v>2929239.43</v>
          </cell>
        </row>
        <row r="672">
          <cell r="A672" t="str">
            <v>Asoc y Serv. Personales</v>
          </cell>
          <cell r="B672" t="str">
            <v>x</v>
          </cell>
          <cell r="C672" t="str">
            <v>0. TOTAL</v>
          </cell>
          <cell r="D672">
            <v>33</v>
          </cell>
          <cell r="E672">
            <v>1259941.05</v>
          </cell>
        </row>
        <row r="673">
          <cell r="A673" t="str">
            <v>Asoc y Serv. Personales</v>
          </cell>
          <cell r="B673" t="str">
            <v>x</v>
          </cell>
          <cell r="C673" t="str">
            <v>5.35 a 39</v>
          </cell>
          <cell r="D673">
            <v>1</v>
          </cell>
          <cell r="E673">
            <v>42426</v>
          </cell>
        </row>
        <row r="674">
          <cell r="A674" t="str">
            <v>Asoc y Serv. Personales</v>
          </cell>
          <cell r="B674" t="str">
            <v>x</v>
          </cell>
          <cell r="C674" t="str">
            <v>6.40 a 44</v>
          </cell>
          <cell r="D674">
            <v>2</v>
          </cell>
          <cell r="E674">
            <v>202043</v>
          </cell>
        </row>
        <row r="675">
          <cell r="A675" t="str">
            <v>Asoc y Serv. Personales</v>
          </cell>
          <cell r="B675" t="str">
            <v>x</v>
          </cell>
          <cell r="C675" t="str">
            <v>7.45 a 49</v>
          </cell>
          <cell r="D675">
            <v>3</v>
          </cell>
          <cell r="E675">
            <v>117453.73</v>
          </cell>
        </row>
        <row r="676">
          <cell r="A676" t="str">
            <v>Asoc y Serv. Personales</v>
          </cell>
          <cell r="B676" t="str">
            <v>x</v>
          </cell>
          <cell r="C676" t="str">
            <v>8.50 a 54</v>
          </cell>
          <cell r="D676">
            <v>1</v>
          </cell>
          <cell r="E676">
            <v>64341.22</v>
          </cell>
        </row>
        <row r="677">
          <cell r="A677" t="str">
            <v>Asoc y Serv. Personales</v>
          </cell>
          <cell r="B677" t="str">
            <v>x</v>
          </cell>
          <cell r="C677" t="str">
            <v>A.60 a 64</v>
          </cell>
          <cell r="D677">
            <v>3</v>
          </cell>
          <cell r="E677">
            <v>334397.71000000002</v>
          </cell>
        </row>
        <row r="678">
          <cell r="A678" t="str">
            <v>Asoc y Serv. Personales</v>
          </cell>
          <cell r="B678" t="str">
            <v>x</v>
          </cell>
          <cell r="C678" t="str">
            <v>X.No Informada</v>
          </cell>
          <cell r="D678">
            <v>23</v>
          </cell>
          <cell r="E678">
            <v>499279.39</v>
          </cell>
        </row>
        <row r="679">
          <cell r="A679" t="str">
            <v>Asoc y Serv. Personales</v>
          </cell>
          <cell r="B679" t="str">
            <v>z</v>
          </cell>
          <cell r="C679" t="str">
            <v>0. TOTAL</v>
          </cell>
          <cell r="D679">
            <v>249280</v>
          </cell>
          <cell r="E679">
            <v>11990965853.07</v>
          </cell>
        </row>
        <row r="680">
          <cell r="A680" t="str">
            <v>Asoc y Serv. Personales</v>
          </cell>
          <cell r="B680" t="str">
            <v>z</v>
          </cell>
          <cell r="C680" t="str">
            <v>1.Hasta 24</v>
          </cell>
          <cell r="D680">
            <v>12792</v>
          </cell>
          <cell r="E680">
            <v>332970795.49000001</v>
          </cell>
        </row>
        <row r="681">
          <cell r="A681" t="str">
            <v>Asoc y Serv. Personales</v>
          </cell>
          <cell r="B681" t="str">
            <v>z</v>
          </cell>
          <cell r="C681" t="str">
            <v>3.25 a 29</v>
          </cell>
          <cell r="D681">
            <v>24917</v>
          </cell>
          <cell r="E681">
            <v>837770275.13999999</v>
          </cell>
        </row>
        <row r="682">
          <cell r="A682" t="str">
            <v>Asoc y Serv. Personales</v>
          </cell>
          <cell r="B682" t="str">
            <v>z</v>
          </cell>
          <cell r="C682" t="str">
            <v>4.30 a 34</v>
          </cell>
          <cell r="D682">
            <v>30742</v>
          </cell>
          <cell r="E682">
            <v>1230303915.8900001</v>
          </cell>
        </row>
        <row r="683">
          <cell r="A683" t="str">
            <v>Asoc y Serv. Personales</v>
          </cell>
          <cell r="B683" t="str">
            <v>z</v>
          </cell>
          <cell r="C683" t="str">
            <v>5.35 a 39</v>
          </cell>
          <cell r="D683">
            <v>32648</v>
          </cell>
          <cell r="E683">
            <v>1457972817.54</v>
          </cell>
        </row>
        <row r="684">
          <cell r="A684" t="str">
            <v>Asoc y Serv. Personales</v>
          </cell>
          <cell r="B684" t="str">
            <v>z</v>
          </cell>
          <cell r="C684" t="str">
            <v>6.40 a 44</v>
          </cell>
          <cell r="D684">
            <v>34194</v>
          </cell>
          <cell r="E684">
            <v>1670968343.9000001</v>
          </cell>
        </row>
        <row r="685">
          <cell r="A685" t="str">
            <v>Asoc y Serv. Personales</v>
          </cell>
          <cell r="B685" t="str">
            <v>z</v>
          </cell>
          <cell r="C685" t="str">
            <v>7.45 a 49</v>
          </cell>
          <cell r="D685">
            <v>30934</v>
          </cell>
          <cell r="E685">
            <v>1614337685.8699999</v>
          </cell>
        </row>
        <row r="686">
          <cell r="A686" t="str">
            <v>Asoc y Serv. Personales</v>
          </cell>
          <cell r="B686" t="str">
            <v>z</v>
          </cell>
          <cell r="C686" t="str">
            <v>8.50 a 54</v>
          </cell>
          <cell r="D686">
            <v>27172</v>
          </cell>
          <cell r="E686">
            <v>1488931447.97</v>
          </cell>
        </row>
        <row r="687">
          <cell r="A687" t="str">
            <v>Asoc y Serv. Personales</v>
          </cell>
          <cell r="B687" t="str">
            <v>z</v>
          </cell>
          <cell r="C687" t="str">
            <v>9.55 a 59</v>
          </cell>
          <cell r="D687">
            <v>25279</v>
          </cell>
          <cell r="E687">
            <v>1472844015.97</v>
          </cell>
        </row>
        <row r="688">
          <cell r="A688" t="str">
            <v>Asoc y Serv. Personales</v>
          </cell>
          <cell r="B688" t="str">
            <v>z</v>
          </cell>
          <cell r="C688" t="str">
            <v>A.60 a 64</v>
          </cell>
          <cell r="D688">
            <v>18002</v>
          </cell>
          <cell r="E688">
            <v>1151139886.26</v>
          </cell>
        </row>
        <row r="689">
          <cell r="A689" t="str">
            <v>Asoc y Serv. Personales</v>
          </cell>
          <cell r="B689" t="str">
            <v>z</v>
          </cell>
          <cell r="C689" t="str">
            <v>B.65 y más</v>
          </cell>
          <cell r="D689">
            <v>11772</v>
          </cell>
          <cell r="E689">
            <v>704548654.73000002</v>
          </cell>
        </row>
        <row r="690">
          <cell r="A690" t="str">
            <v>Asoc y Serv. Personales</v>
          </cell>
          <cell r="B690" t="str">
            <v>z</v>
          </cell>
          <cell r="C690" t="str">
            <v>X.No Informada</v>
          </cell>
          <cell r="D690">
            <v>828</v>
          </cell>
          <cell r="E690">
            <v>29178014.309999999</v>
          </cell>
        </row>
        <row r="691">
          <cell r="A691" t="str">
            <v>Otros</v>
          </cell>
          <cell r="B691" t="str">
            <v>F</v>
          </cell>
          <cell r="C691" t="str">
            <v>0. TOTAL</v>
          </cell>
          <cell r="D691">
            <v>24712</v>
          </cell>
          <cell r="E691">
            <v>940931767.45000005</v>
          </cell>
        </row>
        <row r="692">
          <cell r="A692" t="str">
            <v>Otros</v>
          </cell>
          <cell r="B692" t="str">
            <v>F</v>
          </cell>
          <cell r="C692" t="str">
            <v>1.Hasta 24</v>
          </cell>
          <cell r="D692">
            <v>1474</v>
          </cell>
          <cell r="E692">
            <v>35395357.079999998</v>
          </cell>
        </row>
        <row r="693">
          <cell r="A693" t="str">
            <v>Otros</v>
          </cell>
          <cell r="B693" t="str">
            <v>F</v>
          </cell>
          <cell r="C693" t="str">
            <v>3.25 a 29</v>
          </cell>
          <cell r="D693">
            <v>2955</v>
          </cell>
          <cell r="E693">
            <v>96121774.590000004</v>
          </cell>
        </row>
        <row r="694">
          <cell r="A694" t="str">
            <v>Otros</v>
          </cell>
          <cell r="B694" t="str">
            <v>F</v>
          </cell>
          <cell r="C694" t="str">
            <v>4.30 a 34</v>
          </cell>
          <cell r="D694">
            <v>3426</v>
          </cell>
          <cell r="E694">
            <v>124684693.42</v>
          </cell>
        </row>
        <row r="695">
          <cell r="A695" t="str">
            <v>Otros</v>
          </cell>
          <cell r="B695" t="str">
            <v>F</v>
          </cell>
          <cell r="C695" t="str">
            <v>5.35 a 39</v>
          </cell>
          <cell r="D695">
            <v>3435</v>
          </cell>
          <cell r="E695">
            <v>132060405.56999999</v>
          </cell>
        </row>
        <row r="696">
          <cell r="A696" t="str">
            <v>Otros</v>
          </cell>
          <cell r="B696" t="str">
            <v>F</v>
          </cell>
          <cell r="C696" t="str">
            <v>6.40 a 44</v>
          </cell>
          <cell r="D696">
            <v>3368</v>
          </cell>
          <cell r="E696">
            <v>139418019.78999999</v>
          </cell>
        </row>
        <row r="697">
          <cell r="A697" t="str">
            <v>Otros</v>
          </cell>
          <cell r="B697" t="str">
            <v>F</v>
          </cell>
          <cell r="C697" t="str">
            <v>7.45 a 49</v>
          </cell>
          <cell r="D697">
            <v>3013</v>
          </cell>
          <cell r="E697">
            <v>121365915.68000001</v>
          </cell>
        </row>
        <row r="698">
          <cell r="A698" t="str">
            <v>Otros</v>
          </cell>
          <cell r="B698" t="str">
            <v>F</v>
          </cell>
          <cell r="C698" t="str">
            <v>8.50 a 54</v>
          </cell>
          <cell r="D698">
            <v>2513</v>
          </cell>
          <cell r="E698">
            <v>103259888.66</v>
          </cell>
        </row>
        <row r="699">
          <cell r="A699" t="str">
            <v>Otros</v>
          </cell>
          <cell r="B699" t="str">
            <v>F</v>
          </cell>
          <cell r="C699" t="str">
            <v>9.55 a 59</v>
          </cell>
          <cell r="D699">
            <v>2198</v>
          </cell>
          <cell r="E699">
            <v>95888846.599999994</v>
          </cell>
        </row>
        <row r="700">
          <cell r="A700" t="str">
            <v>Otros</v>
          </cell>
          <cell r="B700" t="str">
            <v>F</v>
          </cell>
          <cell r="C700" t="str">
            <v>A.60 a 64</v>
          </cell>
          <cell r="D700">
            <v>1266</v>
          </cell>
          <cell r="E700">
            <v>52980908.920000002</v>
          </cell>
        </row>
        <row r="701">
          <cell r="A701" t="str">
            <v>Otros</v>
          </cell>
          <cell r="B701" t="str">
            <v>F</v>
          </cell>
          <cell r="C701" t="str">
            <v>B.65 y más</v>
          </cell>
          <cell r="D701">
            <v>940</v>
          </cell>
          <cell r="E701">
            <v>35090245.630000003</v>
          </cell>
        </row>
        <row r="702">
          <cell r="A702" t="str">
            <v>Otros</v>
          </cell>
          <cell r="B702" t="str">
            <v>F</v>
          </cell>
          <cell r="C702" t="str">
            <v>X.No Informada</v>
          </cell>
          <cell r="D702">
            <v>124</v>
          </cell>
          <cell r="E702">
            <v>4665711.51</v>
          </cell>
        </row>
        <row r="703">
          <cell r="A703" t="str">
            <v>Otros</v>
          </cell>
          <cell r="B703" t="str">
            <v>M</v>
          </cell>
          <cell r="C703" t="str">
            <v>0. TOTAL</v>
          </cell>
          <cell r="D703">
            <v>33946</v>
          </cell>
          <cell r="E703">
            <v>1569455984.0799999</v>
          </cell>
        </row>
        <row r="704">
          <cell r="A704" t="str">
            <v>Otros</v>
          </cell>
          <cell r="B704" t="str">
            <v>M</v>
          </cell>
          <cell r="C704" t="str">
            <v>1.Hasta 24</v>
          </cell>
          <cell r="D704">
            <v>2108</v>
          </cell>
          <cell r="E704">
            <v>53337153.420000002</v>
          </cell>
        </row>
        <row r="705">
          <cell r="A705" t="str">
            <v>Otros</v>
          </cell>
          <cell r="B705" t="str">
            <v>M</v>
          </cell>
          <cell r="C705" t="str">
            <v>3.25 a 29</v>
          </cell>
          <cell r="D705">
            <v>3637</v>
          </cell>
          <cell r="E705">
            <v>117277942.87</v>
          </cell>
        </row>
        <row r="706">
          <cell r="A706" t="str">
            <v>Otros</v>
          </cell>
          <cell r="B706" t="str">
            <v>M</v>
          </cell>
          <cell r="C706" t="str">
            <v>4.30 a 34</v>
          </cell>
          <cell r="D706">
            <v>4039</v>
          </cell>
          <cell r="E706">
            <v>162902561.13999999</v>
          </cell>
        </row>
        <row r="707">
          <cell r="A707" t="str">
            <v>Otros</v>
          </cell>
          <cell r="B707" t="str">
            <v>M</v>
          </cell>
          <cell r="C707" t="str">
            <v>5.35 a 39</v>
          </cell>
          <cell r="D707">
            <v>4352</v>
          </cell>
          <cell r="E707">
            <v>198148942.71000001</v>
          </cell>
        </row>
        <row r="708">
          <cell r="A708" t="str">
            <v>Otros</v>
          </cell>
          <cell r="B708" t="str">
            <v>M</v>
          </cell>
          <cell r="C708" t="str">
            <v>6.40 a 44</v>
          </cell>
          <cell r="D708">
            <v>4426</v>
          </cell>
          <cell r="E708">
            <v>209225263.69</v>
          </cell>
        </row>
        <row r="709">
          <cell r="A709" t="str">
            <v>Otros</v>
          </cell>
          <cell r="B709" t="str">
            <v>M</v>
          </cell>
          <cell r="C709" t="str">
            <v>7.45 a 49</v>
          </cell>
          <cell r="D709">
            <v>4014</v>
          </cell>
          <cell r="E709">
            <v>204317774.77000001</v>
          </cell>
        </row>
        <row r="710">
          <cell r="A710" t="str">
            <v>Otros</v>
          </cell>
          <cell r="B710" t="str">
            <v>M</v>
          </cell>
          <cell r="C710" t="str">
            <v>8.50 a 54</v>
          </cell>
          <cell r="D710">
            <v>3684</v>
          </cell>
          <cell r="E710">
            <v>196808601.40000001</v>
          </cell>
        </row>
        <row r="711">
          <cell r="A711" t="str">
            <v>Otros</v>
          </cell>
          <cell r="B711" t="str">
            <v>M</v>
          </cell>
          <cell r="C711" t="str">
            <v>9.55 a 59</v>
          </cell>
          <cell r="D711">
            <v>3218</v>
          </cell>
          <cell r="E711">
            <v>187216522.34999999</v>
          </cell>
        </row>
        <row r="712">
          <cell r="A712" t="str">
            <v>Otros</v>
          </cell>
          <cell r="B712" t="str">
            <v>M</v>
          </cell>
          <cell r="C712" t="str">
            <v>A.60 a 64</v>
          </cell>
          <cell r="D712">
            <v>2660</v>
          </cell>
          <cell r="E712">
            <v>149912835.28</v>
          </cell>
        </row>
        <row r="713">
          <cell r="A713" t="str">
            <v>Otros</v>
          </cell>
          <cell r="B713" t="str">
            <v>M</v>
          </cell>
          <cell r="C713" t="str">
            <v>B.65 y más</v>
          </cell>
          <cell r="D713">
            <v>1792</v>
          </cell>
          <cell r="E713">
            <v>89587265.430000007</v>
          </cell>
        </row>
        <row r="714">
          <cell r="A714" t="str">
            <v>Otros</v>
          </cell>
          <cell r="B714" t="str">
            <v>z</v>
          </cell>
          <cell r="C714" t="str">
            <v>0. TOTAL</v>
          </cell>
          <cell r="D714">
            <v>58663</v>
          </cell>
          <cell r="E714">
            <v>2510454531.3000002</v>
          </cell>
        </row>
        <row r="715">
          <cell r="A715" t="str">
            <v>Otros</v>
          </cell>
          <cell r="B715" t="str">
            <v>z</v>
          </cell>
          <cell r="C715" t="str">
            <v>1.Hasta 24</v>
          </cell>
          <cell r="D715">
            <v>3582</v>
          </cell>
          <cell r="E715">
            <v>88732510.5</v>
          </cell>
        </row>
        <row r="716">
          <cell r="A716" t="str">
            <v>Otros</v>
          </cell>
          <cell r="B716" t="str">
            <v>z</v>
          </cell>
          <cell r="C716" t="str">
            <v>3.25 a 29</v>
          </cell>
          <cell r="D716">
            <v>6592</v>
          </cell>
          <cell r="E716">
            <v>213399717.46000001</v>
          </cell>
        </row>
        <row r="717">
          <cell r="A717" t="str">
            <v>Otros</v>
          </cell>
          <cell r="B717" t="str">
            <v>z</v>
          </cell>
          <cell r="C717" t="str">
            <v>4.30 a 34</v>
          </cell>
          <cell r="D717">
            <v>7465</v>
          </cell>
          <cell r="E717">
            <v>287587254.56</v>
          </cell>
        </row>
        <row r="718">
          <cell r="A718" t="str">
            <v>Otros</v>
          </cell>
          <cell r="B718" t="str">
            <v>z</v>
          </cell>
          <cell r="C718" t="str">
            <v>5.35 a 39</v>
          </cell>
          <cell r="D718">
            <v>7787</v>
          </cell>
          <cell r="E718">
            <v>330209348.27999997</v>
          </cell>
        </row>
        <row r="719">
          <cell r="A719" t="str">
            <v>Otros</v>
          </cell>
          <cell r="B719" t="str">
            <v>z</v>
          </cell>
          <cell r="C719" t="str">
            <v>6.40 a 44</v>
          </cell>
          <cell r="D719">
            <v>7794</v>
          </cell>
          <cell r="E719">
            <v>348643283.48000002</v>
          </cell>
        </row>
        <row r="720">
          <cell r="A720" t="str">
            <v>Otros</v>
          </cell>
          <cell r="B720" t="str">
            <v>z</v>
          </cell>
          <cell r="C720" t="str">
            <v>7.45 a 49</v>
          </cell>
          <cell r="D720">
            <v>7027</v>
          </cell>
          <cell r="E720">
            <v>325683690.44999999</v>
          </cell>
        </row>
        <row r="721">
          <cell r="A721" t="str">
            <v>Otros</v>
          </cell>
          <cell r="B721" t="str">
            <v>z</v>
          </cell>
          <cell r="C721" t="str">
            <v>8.50 a 54</v>
          </cell>
          <cell r="D721">
            <v>6198</v>
          </cell>
          <cell r="E721">
            <v>300113594.38</v>
          </cell>
        </row>
        <row r="722">
          <cell r="A722" t="str">
            <v>Otros</v>
          </cell>
          <cell r="B722" t="str">
            <v>z</v>
          </cell>
          <cell r="C722" t="str">
            <v>9.55 a 59</v>
          </cell>
          <cell r="D722">
            <v>5416</v>
          </cell>
          <cell r="E722">
            <v>283105368.94999999</v>
          </cell>
        </row>
        <row r="723">
          <cell r="A723" t="str">
            <v>Otros</v>
          </cell>
          <cell r="B723" t="str">
            <v>z</v>
          </cell>
          <cell r="C723" t="str">
            <v>A.60 a 64</v>
          </cell>
          <cell r="D723">
            <v>3926</v>
          </cell>
          <cell r="E723">
            <v>202893744.19999999</v>
          </cell>
        </row>
        <row r="724">
          <cell r="A724" t="str">
            <v>Otros</v>
          </cell>
          <cell r="B724" t="str">
            <v>z</v>
          </cell>
          <cell r="C724" t="str">
            <v>B.65 y más</v>
          </cell>
          <cell r="D724">
            <v>2732</v>
          </cell>
          <cell r="E724">
            <v>124677511.06</v>
          </cell>
        </row>
        <row r="725">
          <cell r="A725" t="str">
            <v>Otros</v>
          </cell>
          <cell r="B725" t="str">
            <v>z</v>
          </cell>
          <cell r="C725" t="str">
            <v>X.No Informada</v>
          </cell>
          <cell r="D725">
            <v>144</v>
          </cell>
          <cell r="E725">
            <v>5408507.9800000004</v>
          </cell>
        </row>
        <row r="726">
          <cell r="A726" t="str">
            <v>zzz</v>
          </cell>
          <cell r="B726" t="str">
            <v>F</v>
          </cell>
          <cell r="C726" t="str">
            <v>0. TOTAL</v>
          </cell>
          <cell r="D726">
            <v>1678262</v>
          </cell>
          <cell r="E726">
            <v>68556424575.349998</v>
          </cell>
        </row>
        <row r="727">
          <cell r="A727" t="str">
            <v>zzz</v>
          </cell>
          <cell r="B727" t="str">
            <v>F</v>
          </cell>
          <cell r="C727" t="str">
            <v>1.Hasta 24</v>
          </cell>
          <cell r="D727">
            <v>165026</v>
          </cell>
          <cell r="E727">
            <v>3938339843.3299999</v>
          </cell>
        </row>
        <row r="728">
          <cell r="A728" t="str">
            <v>zzz</v>
          </cell>
          <cell r="B728" t="str">
            <v>F</v>
          </cell>
          <cell r="C728" t="str">
            <v>3.25 a 29</v>
          </cell>
          <cell r="D728">
            <v>276750</v>
          </cell>
          <cell r="E728">
            <v>9188831101.3700008</v>
          </cell>
        </row>
        <row r="729">
          <cell r="A729" t="str">
            <v>zzz</v>
          </cell>
          <cell r="B729" t="str">
            <v>F</v>
          </cell>
          <cell r="C729" t="str">
            <v>4.30 a 34</v>
          </cell>
          <cell r="D729">
            <v>290814</v>
          </cell>
          <cell r="E729">
            <v>11647038208.959999</v>
          </cell>
        </row>
        <row r="730">
          <cell r="A730" t="str">
            <v>zzz</v>
          </cell>
          <cell r="B730" t="str">
            <v>F</v>
          </cell>
          <cell r="C730" t="str">
            <v>5.35 a 39</v>
          </cell>
          <cell r="D730">
            <v>263131</v>
          </cell>
          <cell r="E730">
            <v>11545423615.290001</v>
          </cell>
        </row>
        <row r="731">
          <cell r="A731" t="str">
            <v>zzz</v>
          </cell>
          <cell r="B731" t="str">
            <v>F</v>
          </cell>
          <cell r="C731" t="str">
            <v>6.40 a 44</v>
          </cell>
          <cell r="D731">
            <v>231448</v>
          </cell>
          <cell r="E731">
            <v>10765048726.469999</v>
          </cell>
        </row>
        <row r="732">
          <cell r="A732" t="str">
            <v>zzz</v>
          </cell>
          <cell r="B732" t="str">
            <v>F</v>
          </cell>
          <cell r="C732" t="str">
            <v>7.45 a 49</v>
          </cell>
          <cell r="D732">
            <v>170362</v>
          </cell>
          <cell r="E732">
            <v>8224782338.3500004</v>
          </cell>
        </row>
        <row r="733">
          <cell r="A733" t="str">
            <v>zzz</v>
          </cell>
          <cell r="B733" t="str">
            <v>F</v>
          </cell>
          <cell r="C733" t="str">
            <v>8.50 a 54</v>
          </cell>
          <cell r="D733">
            <v>119646</v>
          </cell>
          <cell r="E733">
            <v>5716504858.0699997</v>
          </cell>
        </row>
        <row r="734">
          <cell r="A734" t="str">
            <v>zzz</v>
          </cell>
          <cell r="B734" t="str">
            <v>F</v>
          </cell>
          <cell r="C734" t="str">
            <v>9.55 a 59</v>
          </cell>
          <cell r="D734">
            <v>93156</v>
          </cell>
          <cell r="E734">
            <v>4452828729.6899996</v>
          </cell>
        </row>
        <row r="735">
          <cell r="A735" t="str">
            <v>zzz</v>
          </cell>
          <cell r="B735" t="str">
            <v>F</v>
          </cell>
          <cell r="C735" t="str">
            <v>A.60 a 64</v>
          </cell>
          <cell r="D735">
            <v>39497</v>
          </cell>
          <cell r="E735">
            <v>1948988993.6199999</v>
          </cell>
        </row>
        <row r="736">
          <cell r="A736" t="str">
            <v>zzz</v>
          </cell>
          <cell r="B736" t="str">
            <v>F</v>
          </cell>
          <cell r="C736" t="str">
            <v>B.65 y más</v>
          </cell>
          <cell r="D736">
            <v>21221</v>
          </cell>
          <cell r="E736">
            <v>877901350.71000004</v>
          </cell>
        </row>
        <row r="737">
          <cell r="A737" t="str">
            <v>zzz</v>
          </cell>
          <cell r="B737" t="str">
            <v>F</v>
          </cell>
          <cell r="C737" t="str">
            <v>X.No Informada</v>
          </cell>
          <cell r="D737">
            <v>7211</v>
          </cell>
          <cell r="E737">
            <v>250736809.49000001</v>
          </cell>
        </row>
        <row r="738">
          <cell r="A738" t="str">
            <v>zzz</v>
          </cell>
          <cell r="B738" t="str">
            <v>M</v>
          </cell>
          <cell r="C738" t="str">
            <v>0. TOTAL</v>
          </cell>
          <cell r="D738">
            <v>3758896</v>
          </cell>
          <cell r="E738">
            <v>189533991093.70999</v>
          </cell>
        </row>
        <row r="739">
          <cell r="A739" t="str">
            <v>zzz</v>
          </cell>
          <cell r="B739" t="str">
            <v>M</v>
          </cell>
          <cell r="C739" t="str">
            <v>1.Hasta 24</v>
          </cell>
          <cell r="D739">
            <v>360469</v>
          </cell>
          <cell r="E739">
            <v>10095213905.379999</v>
          </cell>
        </row>
        <row r="740">
          <cell r="A740" t="str">
            <v>zzz</v>
          </cell>
          <cell r="B740" t="str">
            <v>M</v>
          </cell>
          <cell r="C740" t="str">
            <v>3.25 a 29</v>
          </cell>
          <cell r="D740">
            <v>555078</v>
          </cell>
          <cell r="E740">
            <v>20919496324.970001</v>
          </cell>
        </row>
        <row r="741">
          <cell r="A741" t="str">
            <v>zzz</v>
          </cell>
          <cell r="B741" t="str">
            <v>M</v>
          </cell>
          <cell r="C741" t="str">
            <v>4.30 a 34</v>
          </cell>
          <cell r="D741">
            <v>600462</v>
          </cell>
          <cell r="E741">
            <v>27842762311.68</v>
          </cell>
        </row>
        <row r="742">
          <cell r="A742" t="str">
            <v>zzz</v>
          </cell>
          <cell r="B742" t="str">
            <v>M</v>
          </cell>
          <cell r="C742" t="str">
            <v>5.35 a 39</v>
          </cell>
          <cell r="D742">
            <v>585699</v>
          </cell>
          <cell r="E742">
            <v>30943115525.439999</v>
          </cell>
        </row>
        <row r="743">
          <cell r="A743" t="str">
            <v>zzz</v>
          </cell>
          <cell r="B743" t="str">
            <v>M</v>
          </cell>
          <cell r="C743" t="str">
            <v>6.40 a 44</v>
          </cell>
          <cell r="D743">
            <v>522646</v>
          </cell>
          <cell r="E743">
            <v>29876578181.540001</v>
          </cell>
        </row>
        <row r="744">
          <cell r="A744" t="str">
            <v>zzz</v>
          </cell>
          <cell r="B744" t="str">
            <v>M</v>
          </cell>
          <cell r="C744" t="str">
            <v>7.45 a 49</v>
          </cell>
          <cell r="D744">
            <v>398810</v>
          </cell>
          <cell r="E744">
            <v>24204044465.099998</v>
          </cell>
        </row>
        <row r="745">
          <cell r="A745" t="str">
            <v>zzz</v>
          </cell>
          <cell r="B745" t="str">
            <v>M</v>
          </cell>
          <cell r="C745" t="str">
            <v>8.50 a 54</v>
          </cell>
          <cell r="D745">
            <v>297786</v>
          </cell>
          <cell r="E745">
            <v>18294086997.450001</v>
          </cell>
        </row>
        <row r="746">
          <cell r="A746" t="str">
            <v>zzz</v>
          </cell>
          <cell r="B746" t="str">
            <v>M</v>
          </cell>
          <cell r="C746" t="str">
            <v>9.55 a 59</v>
          </cell>
          <cell r="D746">
            <v>222841</v>
          </cell>
          <cell r="E746">
            <v>14060067423.76</v>
          </cell>
        </row>
        <row r="747">
          <cell r="A747" t="str">
            <v>zzz</v>
          </cell>
          <cell r="B747" t="str">
            <v>M</v>
          </cell>
          <cell r="C747" t="str">
            <v>A.60 a 64</v>
          </cell>
          <cell r="D747">
            <v>148040</v>
          </cell>
          <cell r="E747">
            <v>9464715253.4599991</v>
          </cell>
        </row>
        <row r="748">
          <cell r="A748" t="str">
            <v>zzz</v>
          </cell>
          <cell r="B748" t="str">
            <v>M</v>
          </cell>
          <cell r="C748" t="str">
            <v>B.65 y más</v>
          </cell>
          <cell r="D748">
            <v>65671</v>
          </cell>
          <cell r="E748">
            <v>3767986268.8200002</v>
          </cell>
        </row>
        <row r="749">
          <cell r="A749" t="str">
            <v>zzz</v>
          </cell>
          <cell r="B749" t="str">
            <v>M</v>
          </cell>
          <cell r="C749" t="str">
            <v>X.No Informada</v>
          </cell>
          <cell r="D749">
            <v>1394</v>
          </cell>
          <cell r="E749">
            <v>65924436.109999999</v>
          </cell>
        </row>
        <row r="750">
          <cell r="A750" t="str">
            <v>zzz</v>
          </cell>
          <cell r="B750" t="str">
            <v>x</v>
          </cell>
          <cell r="C750" t="str">
            <v>0. TOTAL</v>
          </cell>
          <cell r="D750">
            <v>698</v>
          </cell>
          <cell r="E750">
            <v>20676889.649999999</v>
          </cell>
        </row>
        <row r="751">
          <cell r="A751" t="str">
            <v>zzz</v>
          </cell>
          <cell r="B751" t="str">
            <v>x</v>
          </cell>
          <cell r="C751" t="str">
            <v>1.Hasta 24</v>
          </cell>
          <cell r="D751">
            <v>4</v>
          </cell>
          <cell r="E751">
            <v>120263.47</v>
          </cell>
        </row>
        <row r="752">
          <cell r="A752" t="str">
            <v>zzz</v>
          </cell>
          <cell r="B752" t="str">
            <v>x</v>
          </cell>
          <cell r="C752" t="str">
            <v>3.25 a 29</v>
          </cell>
          <cell r="D752">
            <v>10</v>
          </cell>
          <cell r="E752">
            <v>283225.83</v>
          </cell>
        </row>
        <row r="753">
          <cell r="A753" t="str">
            <v>zzz</v>
          </cell>
          <cell r="B753" t="str">
            <v>x</v>
          </cell>
          <cell r="C753" t="str">
            <v>4.30 a 34</v>
          </cell>
          <cell r="D753">
            <v>17</v>
          </cell>
          <cell r="E753">
            <v>657939.69999999995</v>
          </cell>
        </row>
        <row r="754">
          <cell r="A754" t="str">
            <v>zzz</v>
          </cell>
          <cell r="B754" t="str">
            <v>x</v>
          </cell>
          <cell r="C754" t="str">
            <v>5.35 a 39</v>
          </cell>
          <cell r="D754">
            <v>27</v>
          </cell>
          <cell r="E754">
            <v>1411243.81</v>
          </cell>
        </row>
        <row r="755">
          <cell r="A755" t="str">
            <v>zzz</v>
          </cell>
          <cell r="B755" t="str">
            <v>x</v>
          </cell>
          <cell r="C755" t="str">
            <v>6.40 a 44</v>
          </cell>
          <cell r="D755">
            <v>36</v>
          </cell>
          <cell r="E755">
            <v>1614520.73</v>
          </cell>
        </row>
        <row r="756">
          <cell r="A756" t="str">
            <v>zzz</v>
          </cell>
          <cell r="B756" t="str">
            <v>x</v>
          </cell>
          <cell r="C756" t="str">
            <v>7.45 a 49</v>
          </cell>
          <cell r="D756">
            <v>19</v>
          </cell>
          <cell r="E756">
            <v>1297192.73</v>
          </cell>
        </row>
        <row r="757">
          <cell r="A757" t="str">
            <v>zzz</v>
          </cell>
          <cell r="B757" t="str">
            <v>x</v>
          </cell>
          <cell r="C757" t="str">
            <v>8.50 a 54</v>
          </cell>
          <cell r="D757">
            <v>25</v>
          </cell>
          <cell r="E757">
            <v>1487045.56</v>
          </cell>
        </row>
        <row r="758">
          <cell r="A758" t="str">
            <v>zzz</v>
          </cell>
          <cell r="B758" t="str">
            <v>x</v>
          </cell>
          <cell r="C758" t="str">
            <v>9.55 a 59</v>
          </cell>
          <cell r="D758">
            <v>18</v>
          </cell>
          <cell r="E758">
            <v>1159362.04</v>
          </cell>
        </row>
        <row r="759">
          <cell r="A759" t="str">
            <v>zzz</v>
          </cell>
          <cell r="B759" t="str">
            <v>x</v>
          </cell>
          <cell r="C759" t="str">
            <v>A.60 a 64</v>
          </cell>
          <cell r="D759">
            <v>14</v>
          </cell>
          <cell r="E759">
            <v>3118311.83</v>
          </cell>
        </row>
        <row r="760">
          <cell r="A760" t="str">
            <v>zzz</v>
          </cell>
          <cell r="B760" t="str">
            <v>x</v>
          </cell>
          <cell r="C760" t="str">
            <v>B.65 y más</v>
          </cell>
          <cell r="D760">
            <v>4</v>
          </cell>
          <cell r="E760">
            <v>86788.73</v>
          </cell>
        </row>
        <row r="761">
          <cell r="A761" t="str">
            <v>zzz</v>
          </cell>
          <cell r="B761" t="str">
            <v>x</v>
          </cell>
          <cell r="C761" t="str">
            <v>X.No Informada</v>
          </cell>
          <cell r="D761">
            <v>524</v>
          </cell>
          <cell r="E761">
            <v>9440995.2200000007</v>
          </cell>
        </row>
        <row r="762">
          <cell r="A762" t="str">
            <v>zzz</v>
          </cell>
          <cell r="B762" t="str">
            <v>z</v>
          </cell>
          <cell r="C762" t="str">
            <v>0. TOTAL</v>
          </cell>
          <cell r="D762">
            <v>5437856</v>
          </cell>
          <cell r="E762">
            <v>258111092558.70999</v>
          </cell>
        </row>
        <row r="763">
          <cell r="A763" t="str">
            <v>zzz</v>
          </cell>
          <cell r="B763" t="str">
            <v>z</v>
          </cell>
          <cell r="C763" t="str">
            <v>1.Hasta 24</v>
          </cell>
          <cell r="D763">
            <v>525499</v>
          </cell>
          <cell r="E763">
            <v>14033674012.18</v>
          </cell>
        </row>
        <row r="764">
          <cell r="A764" t="str">
            <v>zzz</v>
          </cell>
          <cell r="B764" t="str">
            <v>z</v>
          </cell>
          <cell r="C764" t="str">
            <v>3.25 a 29</v>
          </cell>
          <cell r="D764">
            <v>831838</v>
          </cell>
          <cell r="E764">
            <v>30108610652.169998</v>
          </cell>
        </row>
        <row r="765">
          <cell r="A765" t="str">
            <v>zzz</v>
          </cell>
          <cell r="B765" t="str">
            <v>z</v>
          </cell>
          <cell r="C765" t="str">
            <v>4.30 a 34</v>
          </cell>
          <cell r="D765">
            <v>891293</v>
          </cell>
          <cell r="E765">
            <v>39490458460.339996</v>
          </cell>
        </row>
        <row r="766">
          <cell r="A766" t="str">
            <v>zzz</v>
          </cell>
          <cell r="B766" t="str">
            <v>z</v>
          </cell>
          <cell r="C766" t="str">
            <v>5.35 a 39</v>
          </cell>
          <cell r="D766">
            <v>848857</v>
          </cell>
          <cell r="E766">
            <v>42489950384.540001</v>
          </cell>
        </row>
        <row r="767">
          <cell r="A767" t="str">
            <v>zzz</v>
          </cell>
          <cell r="B767" t="str">
            <v>z</v>
          </cell>
          <cell r="C767" t="str">
            <v>6.40 a 44</v>
          </cell>
          <cell r="D767">
            <v>754130</v>
          </cell>
          <cell r="E767">
            <v>40643241428.739998</v>
          </cell>
        </row>
        <row r="768">
          <cell r="A768" t="str">
            <v>zzz</v>
          </cell>
          <cell r="B768" t="str">
            <v>z</v>
          </cell>
          <cell r="C768" t="str">
            <v>7.45 a 49</v>
          </cell>
          <cell r="D768">
            <v>569191</v>
          </cell>
          <cell r="E768">
            <v>32430123996.18</v>
          </cell>
        </row>
        <row r="769">
          <cell r="A769" t="str">
            <v>zzz</v>
          </cell>
          <cell r="B769" t="str">
            <v>z</v>
          </cell>
          <cell r="C769" t="str">
            <v>8.50 a 54</v>
          </cell>
          <cell r="D769">
            <v>417457</v>
          </cell>
          <cell r="E769">
            <v>24012078901.080002</v>
          </cell>
        </row>
        <row r="770">
          <cell r="A770" t="str">
            <v>zzz</v>
          </cell>
          <cell r="B770" t="str">
            <v>z</v>
          </cell>
          <cell r="C770" t="str">
            <v>9.55 a 59</v>
          </cell>
          <cell r="D770">
            <v>316015</v>
          </cell>
          <cell r="E770">
            <v>18514055515.490002</v>
          </cell>
        </row>
        <row r="771">
          <cell r="A771" t="str">
            <v>zzz</v>
          </cell>
          <cell r="B771" t="str">
            <v>z</v>
          </cell>
          <cell r="C771" t="str">
            <v>A.60 a 64</v>
          </cell>
          <cell r="D771">
            <v>187551</v>
          </cell>
          <cell r="E771">
            <v>11416822558.91</v>
          </cell>
        </row>
        <row r="772">
          <cell r="A772" t="str">
            <v>zzz</v>
          </cell>
          <cell r="B772" t="str">
            <v>z</v>
          </cell>
          <cell r="C772" t="str">
            <v>B.65 y más</v>
          </cell>
          <cell r="D772">
            <v>86896</v>
          </cell>
          <cell r="E772">
            <v>4645974408.2600002</v>
          </cell>
        </row>
        <row r="773">
          <cell r="A773" t="str">
            <v>zzz</v>
          </cell>
          <cell r="B773" t="str">
            <v>z</v>
          </cell>
          <cell r="C773" t="str">
            <v>X.No Informada</v>
          </cell>
          <cell r="D773">
            <v>9129</v>
          </cell>
          <cell r="E773">
            <v>326102240.81999999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as 1"/>
      <sheetName val="altas 2"/>
      <sheetName val="altas 3"/>
      <sheetName val="altas 4"/>
      <sheetName val="altas 4 (especiales)"/>
      <sheetName val="Altas 5"/>
      <sheetName val="altaliq-inipago doble entrada"/>
      <sheetName val="No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B6">
            <v>10377</v>
          </cell>
        </row>
        <row r="67">
          <cell r="B67">
            <v>13990</v>
          </cell>
        </row>
        <row r="129">
          <cell r="B129">
            <v>14515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as 1"/>
      <sheetName val="altas 2"/>
      <sheetName val="altas 3"/>
      <sheetName val="altas 4"/>
      <sheetName val="altas 4 (especiales)"/>
      <sheetName val="Altas 5"/>
      <sheetName val="altaliq-inipago doble entrada"/>
      <sheetName val="No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B6">
            <v>2238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as 1"/>
      <sheetName val="altas 2"/>
      <sheetName val="altas 3"/>
      <sheetName val="altas 4"/>
      <sheetName val="altas 4 (especiales)"/>
      <sheetName val="Altas 5"/>
      <sheetName val="altaliq-inipago doble entrada"/>
      <sheetName val="Notas"/>
    </sheetNames>
    <sheetDataSet>
      <sheetData sheetId="0"/>
      <sheetData sheetId="1"/>
      <sheetData sheetId="2"/>
      <sheetData sheetId="3"/>
      <sheetData sheetId="4">
        <row r="6">
          <cell r="B6">
            <v>8939</v>
          </cell>
        </row>
      </sheetData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as 1"/>
      <sheetName val="altas 2"/>
      <sheetName val="altas 3"/>
      <sheetName val="altas 4"/>
      <sheetName val="altas 4 (especiales)"/>
      <sheetName val="Altas 5"/>
      <sheetName val="altaliq-inipago doble entrada"/>
      <sheetName val="Nota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B6">
            <v>15962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tas 1"/>
      <sheetName val="altas 2"/>
      <sheetName val="altas 3"/>
      <sheetName val="altas 4"/>
      <sheetName val="altas 4 (especiales)"/>
      <sheetName val="Altas 5"/>
      <sheetName val="altaliq-inipago doble entrada"/>
      <sheetName val="Notas"/>
    </sheetNames>
    <sheetDataSet>
      <sheetData sheetId="0"/>
      <sheetData sheetId="1"/>
      <sheetData sheetId="2"/>
      <sheetData sheetId="3"/>
      <sheetData sheetId="4">
        <row r="6">
          <cell r="B6">
            <v>13623</v>
          </cell>
        </row>
      </sheetData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dad_aportantes"/>
      <sheetName val="jubilados_composicion"/>
      <sheetName val="pensionados_composicion"/>
      <sheetName val="Ref"/>
      <sheetName val="proyeccion_pob"/>
      <sheetName val="proyeccion_pob_raw"/>
      <sheetName val="tabla_mort"/>
      <sheetName val="TM_conjunta"/>
      <sheetName val="tasa_actividad"/>
      <sheetName val="informalidad"/>
      <sheetName val="elas_infor_pbi"/>
      <sheetName val="variacion_salarial_infla"/>
      <sheetName val="ipc_61-90"/>
      <sheetName val="ipc_91-09"/>
      <sheetName val="ipc_10-26"/>
      <sheetName val="ipc_61-25"/>
      <sheetName val="pbi"/>
      <sheetName val="pbi_indec"/>
      <sheetName val="ripte_historico"/>
      <sheetName val="sipa_activos"/>
      <sheetName val="sipa_pasivos"/>
      <sheetName val="sipa_pasivos_morat"/>
      <sheetName val="pensiones_seg_edad"/>
      <sheetName val="haber_medio_morat"/>
      <sheetName val="aporte_prom"/>
      <sheetName val="ndc_arg_prom"/>
      <sheetName val="NDC_10-25"/>
      <sheetName val="NDC_10-25_morat"/>
      <sheetName val="ndc_jub_sim"/>
      <sheetName val="constantes"/>
      <sheetName val="historial_ratios"/>
    </sheetNames>
    <sheetDataSet>
      <sheetData sheetId="0">
        <row r="4">
          <cell r="H4">
            <v>41.342032140436629</v>
          </cell>
        </row>
      </sheetData>
      <sheetData sheetId="1">
        <row r="32">
          <cell r="L32">
            <v>12.939231022180321</v>
          </cell>
        </row>
        <row r="33">
          <cell r="L33">
            <v>71.028548580145184</v>
          </cell>
        </row>
      </sheetData>
      <sheetData sheetId="2">
        <row r="34">
          <cell r="L34">
            <v>21.348257018514083</v>
          </cell>
        </row>
      </sheetData>
      <sheetData sheetId="3"/>
      <sheetData sheetId="4">
        <row r="1">
          <cell r="A1" t="str">
            <v>Edad</v>
          </cell>
          <cell r="B1">
            <v>2010</v>
          </cell>
          <cell r="C1">
            <v>2011</v>
          </cell>
          <cell r="D1">
            <v>2012</v>
          </cell>
          <cell r="E1">
            <v>2013</v>
          </cell>
          <cell r="F1">
            <v>2014</v>
          </cell>
          <cell r="G1">
            <v>2015</v>
          </cell>
          <cell r="H1">
            <v>2016</v>
          </cell>
          <cell r="I1">
            <v>2017</v>
          </cell>
          <cell r="J1">
            <v>2018</v>
          </cell>
          <cell r="K1">
            <v>2019</v>
          </cell>
          <cell r="L1">
            <v>2020</v>
          </cell>
          <cell r="M1">
            <v>2021</v>
          </cell>
          <cell r="N1">
            <v>2022</v>
          </cell>
          <cell r="O1">
            <v>2023</v>
          </cell>
          <cell r="P1">
            <v>2024</v>
          </cell>
          <cell r="Q1">
            <v>2025</v>
          </cell>
          <cell r="R1">
            <v>2026</v>
          </cell>
          <cell r="S1">
            <v>2027</v>
          </cell>
          <cell r="T1">
            <v>2028</v>
          </cell>
          <cell r="U1">
            <v>2029</v>
          </cell>
          <cell r="V1">
            <v>2030</v>
          </cell>
          <cell r="W1">
            <v>2031</v>
          </cell>
          <cell r="X1">
            <v>2032</v>
          </cell>
          <cell r="Y1">
            <v>2033</v>
          </cell>
          <cell r="Z1">
            <v>2034</v>
          </cell>
          <cell r="AA1">
            <v>2035</v>
          </cell>
          <cell r="AB1">
            <v>2036</v>
          </cell>
          <cell r="AC1">
            <v>2037</v>
          </cell>
          <cell r="AD1">
            <v>2038</v>
          </cell>
          <cell r="AE1">
            <v>2039</v>
          </cell>
          <cell r="AF1">
            <v>2040</v>
          </cell>
        </row>
        <row r="2">
          <cell r="A2">
            <v>0</v>
          </cell>
          <cell r="B2">
            <v>714308</v>
          </cell>
          <cell r="C2">
            <v>724592.4</v>
          </cell>
          <cell r="D2">
            <v>734202.2</v>
          </cell>
          <cell r="E2">
            <v>742522.2</v>
          </cell>
          <cell r="F2">
            <v>749059.8</v>
          </cell>
          <cell r="G2">
            <v>752947.19999999995</v>
          </cell>
          <cell r="H2">
            <v>751541.8</v>
          </cell>
          <cell r="I2">
            <v>749769.2</v>
          </cell>
          <cell r="J2">
            <v>747645.8</v>
          </cell>
          <cell r="K2">
            <v>745232.4</v>
          </cell>
          <cell r="L2">
            <v>742597.8</v>
          </cell>
          <cell r="M2">
            <v>739762.6</v>
          </cell>
          <cell r="N2">
            <v>588007</v>
          </cell>
          <cell r="O2">
            <v>544791.80000000005</v>
          </cell>
          <cell r="P2">
            <v>506509.8</v>
          </cell>
          <cell r="Q2">
            <v>479418.8</v>
          </cell>
          <cell r="R2">
            <v>460681.4</v>
          </cell>
          <cell r="S2">
            <v>446742.4</v>
          </cell>
          <cell r="T2">
            <v>437886.8</v>
          </cell>
          <cell r="U2">
            <v>432876.79999999999</v>
          </cell>
          <cell r="V2">
            <v>430383</v>
          </cell>
          <cell r="W2">
            <v>430856.8</v>
          </cell>
          <cell r="X2">
            <v>433946.2</v>
          </cell>
          <cell r="Y2">
            <v>438833.2</v>
          </cell>
          <cell r="Z2">
            <v>444838.8</v>
          </cell>
          <cell r="AA2">
            <v>451344.6</v>
          </cell>
          <cell r="AB2">
            <v>457656.2</v>
          </cell>
          <cell r="AC2">
            <v>463569.4</v>
          </cell>
          <cell r="AD2">
            <v>468868.8</v>
          </cell>
          <cell r="AE2">
            <v>473348</v>
          </cell>
          <cell r="AF2">
            <v>476834</v>
          </cell>
        </row>
        <row r="3">
          <cell r="A3">
            <v>1</v>
          </cell>
          <cell r="B3">
            <v>714308</v>
          </cell>
          <cell r="C3">
            <v>724592.4</v>
          </cell>
          <cell r="D3">
            <v>734202.2</v>
          </cell>
          <cell r="E3">
            <v>742522.2</v>
          </cell>
          <cell r="F3">
            <v>749059.8</v>
          </cell>
          <cell r="G3">
            <v>752947.19999999995</v>
          </cell>
          <cell r="H3">
            <v>751541.8</v>
          </cell>
          <cell r="I3">
            <v>749769.2</v>
          </cell>
          <cell r="J3">
            <v>747645.8</v>
          </cell>
          <cell r="K3">
            <v>745232.4</v>
          </cell>
          <cell r="L3">
            <v>742597.8</v>
          </cell>
          <cell r="M3">
            <v>739762.6</v>
          </cell>
          <cell r="N3">
            <v>588007</v>
          </cell>
          <cell r="O3">
            <v>544791.80000000005</v>
          </cell>
          <cell r="P3">
            <v>506509.8</v>
          </cell>
          <cell r="Q3">
            <v>479418.8</v>
          </cell>
          <cell r="R3">
            <v>460681.4</v>
          </cell>
          <cell r="S3">
            <v>446742.4</v>
          </cell>
          <cell r="T3">
            <v>437886.8</v>
          </cell>
          <cell r="U3">
            <v>432876.79999999999</v>
          </cell>
          <cell r="V3">
            <v>430383</v>
          </cell>
          <cell r="W3">
            <v>430856.8</v>
          </cell>
          <cell r="X3">
            <v>433946.2</v>
          </cell>
          <cell r="Y3">
            <v>438833.2</v>
          </cell>
          <cell r="Z3">
            <v>444838.8</v>
          </cell>
          <cell r="AA3">
            <v>451344.6</v>
          </cell>
          <cell r="AB3">
            <v>457656.2</v>
          </cell>
          <cell r="AC3">
            <v>463569.4</v>
          </cell>
          <cell r="AD3">
            <v>468868.8</v>
          </cell>
          <cell r="AE3">
            <v>473348</v>
          </cell>
          <cell r="AF3">
            <v>476834</v>
          </cell>
        </row>
        <row r="4">
          <cell r="A4">
            <v>2</v>
          </cell>
          <cell r="B4">
            <v>714308</v>
          </cell>
          <cell r="C4">
            <v>724592.4</v>
          </cell>
          <cell r="D4">
            <v>734202.2</v>
          </cell>
          <cell r="E4">
            <v>742522.2</v>
          </cell>
          <cell r="F4">
            <v>749059.8</v>
          </cell>
          <cell r="G4">
            <v>752947.19999999995</v>
          </cell>
          <cell r="H4">
            <v>751541.8</v>
          </cell>
          <cell r="I4">
            <v>749769.2</v>
          </cell>
          <cell r="J4">
            <v>747645.8</v>
          </cell>
          <cell r="K4">
            <v>745232.4</v>
          </cell>
          <cell r="L4">
            <v>742597.8</v>
          </cell>
          <cell r="M4">
            <v>739762.6</v>
          </cell>
          <cell r="N4">
            <v>588007</v>
          </cell>
          <cell r="O4">
            <v>544791.80000000005</v>
          </cell>
          <cell r="P4">
            <v>506509.8</v>
          </cell>
          <cell r="Q4">
            <v>479418.8</v>
          </cell>
          <cell r="R4">
            <v>460681.4</v>
          </cell>
          <cell r="S4">
            <v>446742.4</v>
          </cell>
          <cell r="T4">
            <v>437886.8</v>
          </cell>
          <cell r="U4">
            <v>432876.79999999999</v>
          </cell>
          <cell r="V4">
            <v>430383</v>
          </cell>
          <cell r="W4">
            <v>430856.8</v>
          </cell>
          <cell r="X4">
            <v>433946.2</v>
          </cell>
          <cell r="Y4">
            <v>438833.2</v>
          </cell>
          <cell r="Z4">
            <v>444838.8</v>
          </cell>
          <cell r="AA4">
            <v>451344.6</v>
          </cell>
          <cell r="AB4">
            <v>457656.2</v>
          </cell>
          <cell r="AC4">
            <v>463569.4</v>
          </cell>
          <cell r="AD4">
            <v>468868.8</v>
          </cell>
          <cell r="AE4">
            <v>473348</v>
          </cell>
          <cell r="AF4">
            <v>476834</v>
          </cell>
        </row>
        <row r="5">
          <cell r="A5">
            <v>3</v>
          </cell>
          <cell r="B5">
            <v>714308</v>
          </cell>
          <cell r="C5">
            <v>724592.4</v>
          </cell>
          <cell r="D5">
            <v>734202.2</v>
          </cell>
          <cell r="E5">
            <v>742522.2</v>
          </cell>
          <cell r="F5">
            <v>749059.8</v>
          </cell>
          <cell r="G5">
            <v>752947.19999999995</v>
          </cell>
          <cell r="H5">
            <v>751541.8</v>
          </cell>
          <cell r="I5">
            <v>749769.2</v>
          </cell>
          <cell r="J5">
            <v>747645.8</v>
          </cell>
          <cell r="K5">
            <v>745232.4</v>
          </cell>
          <cell r="L5">
            <v>742597.8</v>
          </cell>
          <cell r="M5">
            <v>739762.6</v>
          </cell>
          <cell r="N5">
            <v>588007</v>
          </cell>
          <cell r="O5">
            <v>544791.80000000005</v>
          </cell>
          <cell r="P5">
            <v>506509.8</v>
          </cell>
          <cell r="Q5">
            <v>479418.8</v>
          </cell>
          <cell r="R5">
            <v>460681.4</v>
          </cell>
          <cell r="S5">
            <v>446742.4</v>
          </cell>
          <cell r="T5">
            <v>437886.8</v>
          </cell>
          <cell r="U5">
            <v>432876.79999999999</v>
          </cell>
          <cell r="V5">
            <v>430383</v>
          </cell>
          <cell r="W5">
            <v>430856.8</v>
          </cell>
          <cell r="X5">
            <v>433946.2</v>
          </cell>
          <cell r="Y5">
            <v>438833.2</v>
          </cell>
          <cell r="Z5">
            <v>444838.8</v>
          </cell>
          <cell r="AA5">
            <v>451344.6</v>
          </cell>
          <cell r="AB5">
            <v>457656.2</v>
          </cell>
          <cell r="AC5">
            <v>463569.4</v>
          </cell>
          <cell r="AD5">
            <v>468868.8</v>
          </cell>
          <cell r="AE5">
            <v>473348</v>
          </cell>
          <cell r="AF5">
            <v>476834</v>
          </cell>
        </row>
        <row r="6">
          <cell r="A6">
            <v>4</v>
          </cell>
          <cell r="B6">
            <v>714308</v>
          </cell>
          <cell r="C6">
            <v>724592.4</v>
          </cell>
          <cell r="D6">
            <v>734202.2</v>
          </cell>
          <cell r="E6">
            <v>742522.2</v>
          </cell>
          <cell r="F6">
            <v>749059.8</v>
          </cell>
          <cell r="G6">
            <v>752947.19999999995</v>
          </cell>
          <cell r="H6">
            <v>751541.8</v>
          </cell>
          <cell r="I6">
            <v>749769.2</v>
          </cell>
          <cell r="J6">
            <v>747645.8</v>
          </cell>
          <cell r="K6">
            <v>745232.4</v>
          </cell>
          <cell r="L6">
            <v>742597.8</v>
          </cell>
          <cell r="M6">
            <v>739762.6</v>
          </cell>
          <cell r="N6">
            <v>588007</v>
          </cell>
          <cell r="O6">
            <v>544791.80000000005</v>
          </cell>
          <cell r="P6">
            <v>506509.8</v>
          </cell>
          <cell r="Q6">
            <v>479418.8</v>
          </cell>
          <cell r="R6">
            <v>460681.4</v>
          </cell>
          <cell r="S6">
            <v>446742.4</v>
          </cell>
          <cell r="T6">
            <v>437886.8</v>
          </cell>
          <cell r="U6">
            <v>432876.79999999999</v>
          </cell>
          <cell r="V6">
            <v>430383</v>
          </cell>
          <cell r="W6">
            <v>430856.8</v>
          </cell>
          <cell r="X6">
            <v>433946.2</v>
          </cell>
          <cell r="Y6">
            <v>438833.2</v>
          </cell>
          <cell r="Z6">
            <v>444838.8</v>
          </cell>
          <cell r="AA6">
            <v>451344.6</v>
          </cell>
          <cell r="AB6">
            <v>457656.2</v>
          </cell>
          <cell r="AC6">
            <v>463569.4</v>
          </cell>
          <cell r="AD6">
            <v>468868.8</v>
          </cell>
          <cell r="AE6">
            <v>473348</v>
          </cell>
          <cell r="AF6">
            <v>476834</v>
          </cell>
        </row>
        <row r="7">
          <cell r="A7">
            <v>5</v>
          </cell>
          <cell r="B7">
            <v>701427</v>
          </cell>
          <cell r="C7">
            <v>701468</v>
          </cell>
          <cell r="D7">
            <v>702364.6</v>
          </cell>
          <cell r="E7">
            <v>704544.2</v>
          </cell>
          <cell r="F7">
            <v>708255</v>
          </cell>
          <cell r="G7">
            <v>714017</v>
          </cell>
          <cell r="H7">
            <v>724304.2</v>
          </cell>
          <cell r="I7">
            <v>733915</v>
          </cell>
          <cell r="J7">
            <v>742241</v>
          </cell>
          <cell r="K7">
            <v>748786.2</v>
          </cell>
          <cell r="L7">
            <v>752681</v>
          </cell>
          <cell r="M7">
            <v>751287.4</v>
          </cell>
          <cell r="N7">
            <v>747484.6</v>
          </cell>
          <cell r="O7">
            <v>734032</v>
          </cell>
          <cell r="P7">
            <v>708804</v>
          </cell>
          <cell r="Q7">
            <v>670972.6</v>
          </cell>
          <cell r="R7">
            <v>629855.6</v>
          </cell>
          <cell r="S7">
            <v>588340.19999999995</v>
          </cell>
          <cell r="T7">
            <v>545385.4</v>
          </cell>
          <cell r="U7">
            <v>507299.8</v>
          </cell>
          <cell r="V7">
            <v>480310.8</v>
          </cell>
          <cell r="W7">
            <v>461608.6</v>
          </cell>
          <cell r="X7">
            <v>447656.8</v>
          </cell>
          <cell r="Y7">
            <v>438757.6</v>
          </cell>
          <cell r="Z7">
            <v>433687</v>
          </cell>
          <cell r="AA7">
            <v>431127.2</v>
          </cell>
          <cell r="AB7">
            <v>431538.2</v>
          </cell>
          <cell r="AC7">
            <v>434570.8</v>
          </cell>
          <cell r="AD7">
            <v>439410.6</v>
          </cell>
          <cell r="AE7">
            <v>445377.6</v>
          </cell>
          <cell r="AF7">
            <v>451849.8</v>
          </cell>
        </row>
        <row r="8">
          <cell r="A8">
            <v>6</v>
          </cell>
          <cell r="B8">
            <v>701427</v>
          </cell>
          <cell r="C8">
            <v>701468</v>
          </cell>
          <cell r="D8">
            <v>702364.6</v>
          </cell>
          <cell r="E8">
            <v>704544.2</v>
          </cell>
          <cell r="F8">
            <v>708255</v>
          </cell>
          <cell r="G8">
            <v>714017</v>
          </cell>
          <cell r="H8">
            <v>724304.2</v>
          </cell>
          <cell r="I8">
            <v>733915</v>
          </cell>
          <cell r="J8">
            <v>742241</v>
          </cell>
          <cell r="K8">
            <v>748786.2</v>
          </cell>
          <cell r="L8">
            <v>752681</v>
          </cell>
          <cell r="M8">
            <v>751287.4</v>
          </cell>
          <cell r="N8">
            <v>747484.6</v>
          </cell>
          <cell r="O8">
            <v>734032</v>
          </cell>
          <cell r="P8">
            <v>708804</v>
          </cell>
          <cell r="Q8">
            <v>670972.6</v>
          </cell>
          <cell r="R8">
            <v>629855.6</v>
          </cell>
          <cell r="S8">
            <v>588340.19999999995</v>
          </cell>
          <cell r="T8">
            <v>545385.4</v>
          </cell>
          <cell r="U8">
            <v>507299.8</v>
          </cell>
          <cell r="V8">
            <v>480310.8</v>
          </cell>
          <cell r="W8">
            <v>461608.6</v>
          </cell>
          <cell r="X8">
            <v>447656.8</v>
          </cell>
          <cell r="Y8">
            <v>438757.6</v>
          </cell>
          <cell r="Z8">
            <v>433687</v>
          </cell>
          <cell r="AA8">
            <v>431127.2</v>
          </cell>
          <cell r="AB8">
            <v>431538.2</v>
          </cell>
          <cell r="AC8">
            <v>434570.8</v>
          </cell>
          <cell r="AD8">
            <v>439410.6</v>
          </cell>
          <cell r="AE8">
            <v>445377.6</v>
          </cell>
          <cell r="AF8">
            <v>451849.8</v>
          </cell>
        </row>
        <row r="9">
          <cell r="A9">
            <v>7</v>
          </cell>
          <cell r="B9">
            <v>701427</v>
          </cell>
          <cell r="C9">
            <v>701468</v>
          </cell>
          <cell r="D9">
            <v>702364.6</v>
          </cell>
          <cell r="E9">
            <v>704544.2</v>
          </cell>
          <cell r="F9">
            <v>708255</v>
          </cell>
          <cell r="G9">
            <v>714017</v>
          </cell>
          <cell r="H9">
            <v>724304.2</v>
          </cell>
          <cell r="I9">
            <v>733915</v>
          </cell>
          <cell r="J9">
            <v>742241</v>
          </cell>
          <cell r="K9">
            <v>748786.2</v>
          </cell>
          <cell r="L9">
            <v>752681</v>
          </cell>
          <cell r="M9">
            <v>751287.4</v>
          </cell>
          <cell r="N9">
            <v>747484.6</v>
          </cell>
          <cell r="O9">
            <v>734032</v>
          </cell>
          <cell r="P9">
            <v>708804</v>
          </cell>
          <cell r="Q9">
            <v>670972.6</v>
          </cell>
          <cell r="R9">
            <v>629855.6</v>
          </cell>
          <cell r="S9">
            <v>588340.19999999995</v>
          </cell>
          <cell r="T9">
            <v>545385.4</v>
          </cell>
          <cell r="U9">
            <v>507299.8</v>
          </cell>
          <cell r="V9">
            <v>480310.8</v>
          </cell>
          <cell r="W9">
            <v>461608.6</v>
          </cell>
          <cell r="X9">
            <v>447656.8</v>
          </cell>
          <cell r="Y9">
            <v>438757.6</v>
          </cell>
          <cell r="Z9">
            <v>433687</v>
          </cell>
          <cell r="AA9">
            <v>431127.2</v>
          </cell>
          <cell r="AB9">
            <v>431538.2</v>
          </cell>
          <cell r="AC9">
            <v>434570.8</v>
          </cell>
          <cell r="AD9">
            <v>439410.6</v>
          </cell>
          <cell r="AE9">
            <v>445377.6</v>
          </cell>
          <cell r="AF9">
            <v>451849.8</v>
          </cell>
        </row>
        <row r="10">
          <cell r="A10">
            <v>8</v>
          </cell>
          <cell r="B10">
            <v>701427</v>
          </cell>
          <cell r="C10">
            <v>701468</v>
          </cell>
          <cell r="D10">
            <v>702364.6</v>
          </cell>
          <cell r="E10">
            <v>704544.2</v>
          </cell>
          <cell r="F10">
            <v>708255</v>
          </cell>
          <cell r="G10">
            <v>714017</v>
          </cell>
          <cell r="H10">
            <v>724304.2</v>
          </cell>
          <cell r="I10">
            <v>733915</v>
          </cell>
          <cell r="J10">
            <v>742241</v>
          </cell>
          <cell r="K10">
            <v>748786.2</v>
          </cell>
          <cell r="L10">
            <v>752681</v>
          </cell>
          <cell r="M10">
            <v>751287.4</v>
          </cell>
          <cell r="N10">
            <v>747484.6</v>
          </cell>
          <cell r="O10">
            <v>734032</v>
          </cell>
          <cell r="P10">
            <v>708804</v>
          </cell>
          <cell r="Q10">
            <v>670972.6</v>
          </cell>
          <cell r="R10">
            <v>629855.6</v>
          </cell>
          <cell r="S10">
            <v>588340.19999999995</v>
          </cell>
          <cell r="T10">
            <v>545385.4</v>
          </cell>
          <cell r="U10">
            <v>507299.8</v>
          </cell>
          <cell r="V10">
            <v>480310.8</v>
          </cell>
          <cell r="W10">
            <v>461608.6</v>
          </cell>
          <cell r="X10">
            <v>447656.8</v>
          </cell>
          <cell r="Y10">
            <v>438757.6</v>
          </cell>
          <cell r="Z10">
            <v>433687</v>
          </cell>
          <cell r="AA10">
            <v>431127.2</v>
          </cell>
          <cell r="AB10">
            <v>431538.2</v>
          </cell>
          <cell r="AC10">
            <v>434570.8</v>
          </cell>
          <cell r="AD10">
            <v>439410.6</v>
          </cell>
          <cell r="AE10">
            <v>445377.6</v>
          </cell>
          <cell r="AF10">
            <v>451849.8</v>
          </cell>
        </row>
        <row r="11">
          <cell r="A11">
            <v>9</v>
          </cell>
          <cell r="B11">
            <v>701427</v>
          </cell>
          <cell r="C11">
            <v>701468</v>
          </cell>
          <cell r="D11">
            <v>702364.6</v>
          </cell>
          <cell r="E11">
            <v>704544.2</v>
          </cell>
          <cell r="F11">
            <v>708255</v>
          </cell>
          <cell r="G11">
            <v>714017</v>
          </cell>
          <cell r="H11">
            <v>724304.2</v>
          </cell>
          <cell r="I11">
            <v>733915</v>
          </cell>
          <cell r="J11">
            <v>742241</v>
          </cell>
          <cell r="K11">
            <v>748786.2</v>
          </cell>
          <cell r="L11">
            <v>752681</v>
          </cell>
          <cell r="M11">
            <v>751287.4</v>
          </cell>
          <cell r="N11">
            <v>747484.6</v>
          </cell>
          <cell r="O11">
            <v>734032</v>
          </cell>
          <cell r="P11">
            <v>708804</v>
          </cell>
          <cell r="Q11">
            <v>670972.6</v>
          </cell>
          <cell r="R11">
            <v>629855.6</v>
          </cell>
          <cell r="S11">
            <v>588340.19999999995</v>
          </cell>
          <cell r="T11">
            <v>545385.4</v>
          </cell>
          <cell r="U11">
            <v>507299.8</v>
          </cell>
          <cell r="V11">
            <v>480310.8</v>
          </cell>
          <cell r="W11">
            <v>461608.6</v>
          </cell>
          <cell r="X11">
            <v>447656.8</v>
          </cell>
          <cell r="Y11">
            <v>438757.6</v>
          </cell>
          <cell r="Z11">
            <v>433687</v>
          </cell>
          <cell r="AA11">
            <v>431127.2</v>
          </cell>
          <cell r="AB11">
            <v>431538.2</v>
          </cell>
          <cell r="AC11">
            <v>434570.8</v>
          </cell>
          <cell r="AD11">
            <v>439410.6</v>
          </cell>
          <cell r="AE11">
            <v>445377.6</v>
          </cell>
          <cell r="AF11">
            <v>451849.8</v>
          </cell>
        </row>
        <row r="12">
          <cell r="A12">
            <v>10</v>
          </cell>
          <cell r="B12">
            <v>708390.8</v>
          </cell>
          <cell r="C12">
            <v>706026.2</v>
          </cell>
          <cell r="D12">
            <v>704277.8</v>
          </cell>
          <cell r="E12">
            <v>703060.2</v>
          </cell>
          <cell r="F12">
            <v>702194.4</v>
          </cell>
          <cell r="G12">
            <v>701706.2</v>
          </cell>
          <cell r="H12">
            <v>701741.4</v>
          </cell>
          <cell r="I12">
            <v>702633.4</v>
          </cell>
          <cell r="J12">
            <v>704807.2</v>
          </cell>
          <cell r="K12">
            <v>708502.6</v>
          </cell>
          <cell r="L12">
            <v>714254.2</v>
          </cell>
          <cell r="M12">
            <v>724521.2</v>
          </cell>
          <cell r="N12">
            <v>748645.8</v>
          </cell>
          <cell r="O12">
            <v>752572.8</v>
          </cell>
          <cell r="P12">
            <v>756892.4</v>
          </cell>
          <cell r="Q12">
            <v>760493</v>
          </cell>
          <cell r="R12">
            <v>756886.4</v>
          </cell>
          <cell r="S12">
            <v>748176.6</v>
          </cell>
          <cell r="T12">
            <v>734903</v>
          </cell>
          <cell r="U12">
            <v>709812.8</v>
          </cell>
          <cell r="V12">
            <v>672056.2</v>
          </cell>
          <cell r="W12">
            <v>630967.19999999995</v>
          </cell>
          <cell r="X12">
            <v>589445</v>
          </cell>
          <cell r="Y12">
            <v>546462.6</v>
          </cell>
          <cell r="Z12">
            <v>508333.6</v>
          </cell>
          <cell r="AA12">
            <v>481290.8</v>
          </cell>
          <cell r="AB12">
            <v>462532.6</v>
          </cell>
          <cell r="AC12">
            <v>448532.8</v>
          </cell>
          <cell r="AD12">
            <v>439591.8</v>
          </cell>
          <cell r="AE12">
            <v>434486.6</v>
          </cell>
          <cell r="AF12">
            <v>431896.4</v>
          </cell>
        </row>
        <row r="13">
          <cell r="A13">
            <v>11</v>
          </cell>
          <cell r="B13">
            <v>708390.8</v>
          </cell>
          <cell r="C13">
            <v>706026.2</v>
          </cell>
          <cell r="D13">
            <v>704277.8</v>
          </cell>
          <cell r="E13">
            <v>703060.2</v>
          </cell>
          <cell r="F13">
            <v>702194.4</v>
          </cell>
          <cell r="G13">
            <v>701706.2</v>
          </cell>
          <cell r="H13">
            <v>701741.4</v>
          </cell>
          <cell r="I13">
            <v>702633.4</v>
          </cell>
          <cell r="J13">
            <v>704807.2</v>
          </cell>
          <cell r="K13">
            <v>708502.6</v>
          </cell>
          <cell r="L13">
            <v>714254.2</v>
          </cell>
          <cell r="M13">
            <v>724521.2</v>
          </cell>
          <cell r="N13">
            <v>748645.8</v>
          </cell>
          <cell r="O13">
            <v>752572.8</v>
          </cell>
          <cell r="P13">
            <v>756892.4</v>
          </cell>
          <cell r="Q13">
            <v>760493</v>
          </cell>
          <cell r="R13">
            <v>756886.4</v>
          </cell>
          <cell r="S13">
            <v>748176.6</v>
          </cell>
          <cell r="T13">
            <v>734903</v>
          </cell>
          <cell r="U13">
            <v>709812.8</v>
          </cell>
          <cell r="V13">
            <v>672056.2</v>
          </cell>
          <cell r="W13">
            <v>630967.19999999995</v>
          </cell>
          <cell r="X13">
            <v>589445</v>
          </cell>
          <cell r="Y13">
            <v>546462.6</v>
          </cell>
          <cell r="Z13">
            <v>508333.6</v>
          </cell>
          <cell r="AA13">
            <v>481290.8</v>
          </cell>
          <cell r="AB13">
            <v>462532.6</v>
          </cell>
          <cell r="AC13">
            <v>448532.8</v>
          </cell>
          <cell r="AD13">
            <v>439591.8</v>
          </cell>
          <cell r="AE13">
            <v>434486.6</v>
          </cell>
          <cell r="AF13">
            <v>431896.4</v>
          </cell>
        </row>
        <row r="14">
          <cell r="A14">
            <v>12</v>
          </cell>
          <cell r="B14">
            <v>708390.8</v>
          </cell>
          <cell r="C14">
            <v>706026.2</v>
          </cell>
          <cell r="D14">
            <v>704277.8</v>
          </cell>
          <cell r="E14">
            <v>703060.2</v>
          </cell>
          <cell r="F14">
            <v>702194.4</v>
          </cell>
          <cell r="G14">
            <v>701706.2</v>
          </cell>
          <cell r="H14">
            <v>701741.4</v>
          </cell>
          <cell r="I14">
            <v>702633.4</v>
          </cell>
          <cell r="J14">
            <v>704807.2</v>
          </cell>
          <cell r="K14">
            <v>708502.6</v>
          </cell>
          <cell r="L14">
            <v>714254.2</v>
          </cell>
          <cell r="M14">
            <v>724521.2</v>
          </cell>
          <cell r="N14">
            <v>748645.8</v>
          </cell>
          <cell r="O14">
            <v>752572.8</v>
          </cell>
          <cell r="P14">
            <v>756892.4</v>
          </cell>
          <cell r="Q14">
            <v>760493</v>
          </cell>
          <cell r="R14">
            <v>756886.4</v>
          </cell>
          <cell r="S14">
            <v>748176.6</v>
          </cell>
          <cell r="T14">
            <v>734903</v>
          </cell>
          <cell r="U14">
            <v>709812.8</v>
          </cell>
          <cell r="V14">
            <v>672056.2</v>
          </cell>
          <cell r="W14">
            <v>630967.19999999995</v>
          </cell>
          <cell r="X14">
            <v>589445</v>
          </cell>
          <cell r="Y14">
            <v>546462.6</v>
          </cell>
          <cell r="Z14">
            <v>508333.6</v>
          </cell>
          <cell r="AA14">
            <v>481290.8</v>
          </cell>
          <cell r="AB14">
            <v>462532.6</v>
          </cell>
          <cell r="AC14">
            <v>448532.8</v>
          </cell>
          <cell r="AD14">
            <v>439591.8</v>
          </cell>
          <cell r="AE14">
            <v>434486.6</v>
          </cell>
          <cell r="AF14">
            <v>431896.4</v>
          </cell>
        </row>
        <row r="15">
          <cell r="A15">
            <v>13</v>
          </cell>
          <cell r="B15">
            <v>708390.8</v>
          </cell>
          <cell r="C15">
            <v>706026.2</v>
          </cell>
          <cell r="D15">
            <v>704277.8</v>
          </cell>
          <cell r="E15">
            <v>703060.2</v>
          </cell>
          <cell r="F15">
            <v>702194.4</v>
          </cell>
          <cell r="G15">
            <v>701706.2</v>
          </cell>
          <cell r="H15">
            <v>701741.4</v>
          </cell>
          <cell r="I15">
            <v>702633.4</v>
          </cell>
          <cell r="J15">
            <v>704807.2</v>
          </cell>
          <cell r="K15">
            <v>708502.6</v>
          </cell>
          <cell r="L15">
            <v>714254.2</v>
          </cell>
          <cell r="M15">
            <v>724521.2</v>
          </cell>
          <cell r="N15">
            <v>748645.8</v>
          </cell>
          <cell r="O15">
            <v>752572.8</v>
          </cell>
          <cell r="P15">
            <v>756892.4</v>
          </cell>
          <cell r="Q15">
            <v>760493</v>
          </cell>
          <cell r="R15">
            <v>756886.4</v>
          </cell>
          <cell r="S15">
            <v>748176.6</v>
          </cell>
          <cell r="T15">
            <v>734903</v>
          </cell>
          <cell r="U15">
            <v>709812.8</v>
          </cell>
          <cell r="V15">
            <v>672056.2</v>
          </cell>
          <cell r="W15">
            <v>630967.19999999995</v>
          </cell>
          <cell r="X15">
            <v>589445</v>
          </cell>
          <cell r="Y15">
            <v>546462.6</v>
          </cell>
          <cell r="Z15">
            <v>508333.6</v>
          </cell>
          <cell r="AA15">
            <v>481290.8</v>
          </cell>
          <cell r="AB15">
            <v>462532.6</v>
          </cell>
          <cell r="AC15">
            <v>448532.8</v>
          </cell>
          <cell r="AD15">
            <v>439591.8</v>
          </cell>
          <cell r="AE15">
            <v>434486.6</v>
          </cell>
          <cell r="AF15">
            <v>431896.4</v>
          </cell>
        </row>
        <row r="16">
          <cell r="A16">
            <v>14</v>
          </cell>
          <cell r="B16">
            <v>708390.8</v>
          </cell>
          <cell r="C16">
            <v>706026.2</v>
          </cell>
          <cell r="D16">
            <v>704277.8</v>
          </cell>
          <cell r="E16">
            <v>703060.2</v>
          </cell>
          <cell r="F16">
            <v>702194.4</v>
          </cell>
          <cell r="G16">
            <v>701706.2</v>
          </cell>
          <cell r="H16">
            <v>701741.4</v>
          </cell>
          <cell r="I16">
            <v>702633.4</v>
          </cell>
          <cell r="J16">
            <v>704807.2</v>
          </cell>
          <cell r="K16">
            <v>708502.6</v>
          </cell>
          <cell r="L16">
            <v>714254.2</v>
          </cell>
          <cell r="M16">
            <v>724521.2</v>
          </cell>
          <cell r="N16">
            <v>748645.8</v>
          </cell>
          <cell r="O16">
            <v>752572.8</v>
          </cell>
          <cell r="P16">
            <v>756892.4</v>
          </cell>
          <cell r="Q16">
            <v>760493</v>
          </cell>
          <cell r="R16">
            <v>756886.4</v>
          </cell>
          <cell r="S16">
            <v>748176.6</v>
          </cell>
          <cell r="T16">
            <v>734903</v>
          </cell>
          <cell r="U16">
            <v>709812.8</v>
          </cell>
          <cell r="V16">
            <v>672056.2</v>
          </cell>
          <cell r="W16">
            <v>630967.19999999995</v>
          </cell>
          <cell r="X16">
            <v>589445</v>
          </cell>
          <cell r="Y16">
            <v>546462.6</v>
          </cell>
          <cell r="Z16">
            <v>508333.6</v>
          </cell>
          <cell r="AA16">
            <v>481290.8</v>
          </cell>
          <cell r="AB16">
            <v>462532.6</v>
          </cell>
          <cell r="AC16">
            <v>448532.8</v>
          </cell>
          <cell r="AD16">
            <v>439591.8</v>
          </cell>
          <cell r="AE16">
            <v>434486.6</v>
          </cell>
          <cell r="AF16">
            <v>431896.4</v>
          </cell>
        </row>
        <row r="17">
          <cell r="A17">
            <v>15</v>
          </cell>
          <cell r="B17">
            <v>711962.6</v>
          </cell>
          <cell r="C17">
            <v>714727.6</v>
          </cell>
          <cell r="D17">
            <v>714904</v>
          </cell>
          <cell r="E17">
            <v>713230.8</v>
          </cell>
          <cell r="F17">
            <v>710665</v>
          </cell>
          <cell r="G17">
            <v>707926</v>
          </cell>
          <cell r="H17">
            <v>705585.8</v>
          </cell>
          <cell r="I17">
            <v>703856</v>
          </cell>
          <cell r="J17">
            <v>702647.8</v>
          </cell>
          <cell r="K17">
            <v>701793</v>
          </cell>
          <cell r="L17">
            <v>701305</v>
          </cell>
          <cell r="M17">
            <v>701347.4</v>
          </cell>
          <cell r="N17">
            <v>727579.8</v>
          </cell>
          <cell r="O17">
            <v>730023.4</v>
          </cell>
          <cell r="P17">
            <v>733840.8</v>
          </cell>
          <cell r="Q17">
            <v>737381</v>
          </cell>
          <cell r="R17">
            <v>743278.4</v>
          </cell>
          <cell r="S17">
            <v>749672.4</v>
          </cell>
          <cell r="T17">
            <v>753744.2</v>
          </cell>
          <cell r="U17">
            <v>758156.80000000005</v>
          </cell>
          <cell r="V17">
            <v>761787</v>
          </cell>
          <cell r="W17">
            <v>758165.8</v>
          </cell>
          <cell r="X17">
            <v>749405.2</v>
          </cell>
          <cell r="Y17">
            <v>736059.2</v>
          </cell>
          <cell r="Z17">
            <v>710901.6</v>
          </cell>
          <cell r="AA17">
            <v>673092.8</v>
          </cell>
          <cell r="AB17">
            <v>631963</v>
          </cell>
          <cell r="AC17">
            <v>590419.4</v>
          </cell>
          <cell r="AD17">
            <v>547440.80000000005</v>
          </cell>
          <cell r="AE17">
            <v>509325.4</v>
          </cell>
          <cell r="AF17">
            <v>482282</v>
          </cell>
        </row>
        <row r="18">
          <cell r="A18">
            <v>16</v>
          </cell>
          <cell r="B18">
            <v>711962.6</v>
          </cell>
          <cell r="C18">
            <v>714727.6</v>
          </cell>
          <cell r="D18">
            <v>714904</v>
          </cell>
          <cell r="E18">
            <v>713230.8</v>
          </cell>
          <cell r="F18">
            <v>710665</v>
          </cell>
          <cell r="G18">
            <v>707926</v>
          </cell>
          <cell r="H18">
            <v>705585.8</v>
          </cell>
          <cell r="I18">
            <v>703856</v>
          </cell>
          <cell r="J18">
            <v>702647.8</v>
          </cell>
          <cell r="K18">
            <v>701793</v>
          </cell>
          <cell r="L18">
            <v>701305</v>
          </cell>
          <cell r="M18">
            <v>701347.4</v>
          </cell>
          <cell r="N18">
            <v>727579.8</v>
          </cell>
          <cell r="O18">
            <v>730023.4</v>
          </cell>
          <cell r="P18">
            <v>733840.8</v>
          </cell>
          <cell r="Q18">
            <v>737381</v>
          </cell>
          <cell r="R18">
            <v>743278.4</v>
          </cell>
          <cell r="S18">
            <v>749672.4</v>
          </cell>
          <cell r="T18">
            <v>753744.2</v>
          </cell>
          <cell r="U18">
            <v>758156.80000000005</v>
          </cell>
          <cell r="V18">
            <v>761787</v>
          </cell>
          <cell r="W18">
            <v>758165.8</v>
          </cell>
          <cell r="X18">
            <v>749405.2</v>
          </cell>
          <cell r="Y18">
            <v>736059.2</v>
          </cell>
          <cell r="Z18">
            <v>710901.6</v>
          </cell>
          <cell r="AA18">
            <v>673092.8</v>
          </cell>
          <cell r="AB18">
            <v>631963</v>
          </cell>
          <cell r="AC18">
            <v>590419.4</v>
          </cell>
          <cell r="AD18">
            <v>547440.80000000005</v>
          </cell>
          <cell r="AE18">
            <v>509325.4</v>
          </cell>
          <cell r="AF18">
            <v>482282</v>
          </cell>
        </row>
        <row r="19">
          <cell r="A19">
            <v>17</v>
          </cell>
          <cell r="B19">
            <v>711962.6</v>
          </cell>
          <cell r="C19">
            <v>714727.6</v>
          </cell>
          <cell r="D19">
            <v>714904</v>
          </cell>
          <cell r="E19">
            <v>713230.8</v>
          </cell>
          <cell r="F19">
            <v>710665</v>
          </cell>
          <cell r="G19">
            <v>707926</v>
          </cell>
          <cell r="H19">
            <v>705585.8</v>
          </cell>
          <cell r="I19">
            <v>703856</v>
          </cell>
          <cell r="J19">
            <v>702647.8</v>
          </cell>
          <cell r="K19">
            <v>701793</v>
          </cell>
          <cell r="L19">
            <v>701305</v>
          </cell>
          <cell r="M19">
            <v>701347.4</v>
          </cell>
          <cell r="N19">
            <v>727579.8</v>
          </cell>
          <cell r="O19">
            <v>730023.4</v>
          </cell>
          <cell r="P19">
            <v>733840.8</v>
          </cell>
          <cell r="Q19">
            <v>737381</v>
          </cell>
          <cell r="R19">
            <v>743278.4</v>
          </cell>
          <cell r="S19">
            <v>749672.4</v>
          </cell>
          <cell r="T19">
            <v>753744.2</v>
          </cell>
          <cell r="U19">
            <v>758156.80000000005</v>
          </cell>
          <cell r="V19">
            <v>761787</v>
          </cell>
          <cell r="W19">
            <v>758165.8</v>
          </cell>
          <cell r="X19">
            <v>749405.2</v>
          </cell>
          <cell r="Y19">
            <v>736059.2</v>
          </cell>
          <cell r="Z19">
            <v>710901.6</v>
          </cell>
          <cell r="AA19">
            <v>673092.8</v>
          </cell>
          <cell r="AB19">
            <v>631963</v>
          </cell>
          <cell r="AC19">
            <v>590419.4</v>
          </cell>
          <cell r="AD19">
            <v>547440.80000000005</v>
          </cell>
          <cell r="AE19">
            <v>509325.4</v>
          </cell>
          <cell r="AF19">
            <v>482282</v>
          </cell>
        </row>
        <row r="20">
          <cell r="A20">
            <v>18</v>
          </cell>
          <cell r="B20">
            <v>711962.6</v>
          </cell>
          <cell r="C20">
            <v>714727.6</v>
          </cell>
          <cell r="D20">
            <v>714904</v>
          </cell>
          <cell r="E20">
            <v>713230.8</v>
          </cell>
          <cell r="F20">
            <v>710665</v>
          </cell>
          <cell r="G20">
            <v>707926</v>
          </cell>
          <cell r="H20">
            <v>705585.8</v>
          </cell>
          <cell r="I20">
            <v>703856</v>
          </cell>
          <cell r="J20">
            <v>702647.8</v>
          </cell>
          <cell r="K20">
            <v>701793</v>
          </cell>
          <cell r="L20">
            <v>701305</v>
          </cell>
          <cell r="M20">
            <v>701347.4</v>
          </cell>
          <cell r="N20">
            <v>727579.8</v>
          </cell>
          <cell r="O20">
            <v>730023.4</v>
          </cell>
          <cell r="P20">
            <v>733840.8</v>
          </cell>
          <cell r="Q20">
            <v>737381</v>
          </cell>
          <cell r="R20">
            <v>743278.4</v>
          </cell>
          <cell r="S20">
            <v>749672.4</v>
          </cell>
          <cell r="T20">
            <v>753744.2</v>
          </cell>
          <cell r="U20">
            <v>758156.80000000005</v>
          </cell>
          <cell r="V20">
            <v>761787</v>
          </cell>
          <cell r="W20">
            <v>758165.8</v>
          </cell>
          <cell r="X20">
            <v>749405.2</v>
          </cell>
          <cell r="Y20">
            <v>736059.2</v>
          </cell>
          <cell r="Z20">
            <v>710901.6</v>
          </cell>
          <cell r="AA20">
            <v>673092.8</v>
          </cell>
          <cell r="AB20">
            <v>631963</v>
          </cell>
          <cell r="AC20">
            <v>590419.4</v>
          </cell>
          <cell r="AD20">
            <v>547440.80000000005</v>
          </cell>
          <cell r="AE20">
            <v>509325.4</v>
          </cell>
          <cell r="AF20">
            <v>482282</v>
          </cell>
        </row>
        <row r="21">
          <cell r="A21">
            <v>19</v>
          </cell>
          <cell r="B21">
            <v>711962.6</v>
          </cell>
          <cell r="C21">
            <v>714727.6</v>
          </cell>
          <cell r="D21">
            <v>714904</v>
          </cell>
          <cell r="E21">
            <v>713230.8</v>
          </cell>
          <cell r="F21">
            <v>710665</v>
          </cell>
          <cell r="G21">
            <v>707926</v>
          </cell>
          <cell r="H21">
            <v>705585.8</v>
          </cell>
          <cell r="I21">
            <v>703856</v>
          </cell>
          <cell r="J21">
            <v>702647.8</v>
          </cell>
          <cell r="K21">
            <v>701793</v>
          </cell>
          <cell r="L21">
            <v>701305</v>
          </cell>
          <cell r="M21">
            <v>701347.4</v>
          </cell>
          <cell r="N21">
            <v>727579.8</v>
          </cell>
          <cell r="O21">
            <v>730023.4</v>
          </cell>
          <cell r="P21">
            <v>733840.8</v>
          </cell>
          <cell r="Q21">
            <v>737381</v>
          </cell>
          <cell r="R21">
            <v>743278.4</v>
          </cell>
          <cell r="S21">
            <v>749672.4</v>
          </cell>
          <cell r="T21">
            <v>753744.2</v>
          </cell>
          <cell r="U21">
            <v>758156.80000000005</v>
          </cell>
          <cell r="V21">
            <v>761787</v>
          </cell>
          <cell r="W21">
            <v>758165.8</v>
          </cell>
          <cell r="X21">
            <v>749405.2</v>
          </cell>
          <cell r="Y21">
            <v>736059.2</v>
          </cell>
          <cell r="Z21">
            <v>710901.6</v>
          </cell>
          <cell r="AA21">
            <v>673092.8</v>
          </cell>
          <cell r="AB21">
            <v>631963</v>
          </cell>
          <cell r="AC21">
            <v>590419.4</v>
          </cell>
          <cell r="AD21">
            <v>547440.80000000005</v>
          </cell>
          <cell r="AE21">
            <v>509325.4</v>
          </cell>
          <cell r="AF21">
            <v>482282</v>
          </cell>
        </row>
        <row r="22">
          <cell r="A22">
            <v>20</v>
          </cell>
          <cell r="B22">
            <v>669296.6</v>
          </cell>
          <cell r="C22">
            <v>679118</v>
          </cell>
          <cell r="D22">
            <v>688918.8</v>
          </cell>
          <cell r="E22">
            <v>697987.2</v>
          </cell>
          <cell r="F22">
            <v>705550.8</v>
          </cell>
          <cell r="G22">
            <v>710962.2</v>
          </cell>
          <cell r="H22">
            <v>713716</v>
          </cell>
          <cell r="I22">
            <v>713900.4</v>
          </cell>
          <cell r="J22">
            <v>712237.4</v>
          </cell>
          <cell r="K22">
            <v>709677.8</v>
          </cell>
          <cell r="L22">
            <v>706952.4</v>
          </cell>
          <cell r="M22">
            <v>704609.8</v>
          </cell>
          <cell r="N22">
            <v>719517.4</v>
          </cell>
          <cell r="O22">
            <v>719728.4</v>
          </cell>
          <cell r="P22">
            <v>721763.8</v>
          </cell>
          <cell r="Q22">
            <v>725060.4</v>
          </cell>
          <cell r="R22">
            <v>726642.2</v>
          </cell>
          <cell r="S22">
            <v>726562.2</v>
          </cell>
          <cell r="T22">
            <v>729359.2</v>
          </cell>
          <cell r="U22">
            <v>733422</v>
          </cell>
          <cell r="V22">
            <v>737088.8</v>
          </cell>
          <cell r="W22">
            <v>743012.2</v>
          </cell>
          <cell r="X22">
            <v>749371.8</v>
          </cell>
          <cell r="Y22">
            <v>753381.2</v>
          </cell>
          <cell r="Z22">
            <v>757713.2</v>
          </cell>
          <cell r="AA22">
            <v>761258.8</v>
          </cell>
          <cell r="AB22">
            <v>757574.2</v>
          </cell>
          <cell r="AC22">
            <v>748775.2</v>
          </cell>
          <cell r="AD22">
            <v>735419.8</v>
          </cell>
          <cell r="AE22">
            <v>710302.4</v>
          </cell>
          <cell r="AF22">
            <v>672582</v>
          </cell>
        </row>
        <row r="23">
          <cell r="A23">
            <v>21</v>
          </cell>
          <cell r="B23">
            <v>669296.6</v>
          </cell>
          <cell r="C23">
            <v>679118</v>
          </cell>
          <cell r="D23">
            <v>688918.8</v>
          </cell>
          <cell r="E23">
            <v>697987.2</v>
          </cell>
          <cell r="F23">
            <v>705550.8</v>
          </cell>
          <cell r="G23">
            <v>710962.2</v>
          </cell>
          <cell r="H23">
            <v>713716</v>
          </cell>
          <cell r="I23">
            <v>713900.4</v>
          </cell>
          <cell r="J23">
            <v>712237.4</v>
          </cell>
          <cell r="K23">
            <v>709677.8</v>
          </cell>
          <cell r="L23">
            <v>706952.4</v>
          </cell>
          <cell r="M23">
            <v>704609.8</v>
          </cell>
          <cell r="N23">
            <v>719517.4</v>
          </cell>
          <cell r="O23">
            <v>719728.4</v>
          </cell>
          <cell r="P23">
            <v>721763.8</v>
          </cell>
          <cell r="Q23">
            <v>725060.4</v>
          </cell>
          <cell r="R23">
            <v>726642.2</v>
          </cell>
          <cell r="S23">
            <v>726562.2</v>
          </cell>
          <cell r="T23">
            <v>729359.2</v>
          </cell>
          <cell r="U23">
            <v>733422</v>
          </cell>
          <cell r="V23">
            <v>737088.8</v>
          </cell>
          <cell r="W23">
            <v>743012.2</v>
          </cell>
          <cell r="X23">
            <v>749371.8</v>
          </cell>
          <cell r="Y23">
            <v>753381.2</v>
          </cell>
          <cell r="Z23">
            <v>757713.2</v>
          </cell>
          <cell r="AA23">
            <v>761258.8</v>
          </cell>
          <cell r="AB23">
            <v>757574.2</v>
          </cell>
          <cell r="AC23">
            <v>748775.2</v>
          </cell>
          <cell r="AD23">
            <v>735419.8</v>
          </cell>
          <cell r="AE23">
            <v>710302.4</v>
          </cell>
          <cell r="AF23">
            <v>672582</v>
          </cell>
        </row>
        <row r="24">
          <cell r="A24">
            <v>22</v>
          </cell>
          <cell r="B24">
            <v>669296.6</v>
          </cell>
          <cell r="C24">
            <v>679118</v>
          </cell>
          <cell r="D24">
            <v>688918.8</v>
          </cell>
          <cell r="E24">
            <v>697987.2</v>
          </cell>
          <cell r="F24">
            <v>705550.8</v>
          </cell>
          <cell r="G24">
            <v>710962.2</v>
          </cell>
          <cell r="H24">
            <v>713716</v>
          </cell>
          <cell r="I24">
            <v>713900.4</v>
          </cell>
          <cell r="J24">
            <v>712237.4</v>
          </cell>
          <cell r="K24">
            <v>709677.8</v>
          </cell>
          <cell r="L24">
            <v>706952.4</v>
          </cell>
          <cell r="M24">
            <v>704609.8</v>
          </cell>
          <cell r="N24">
            <v>719517.4</v>
          </cell>
          <cell r="O24">
            <v>719728.4</v>
          </cell>
          <cell r="P24">
            <v>721763.8</v>
          </cell>
          <cell r="Q24">
            <v>725060.4</v>
          </cell>
          <cell r="R24">
            <v>726642.2</v>
          </cell>
          <cell r="S24">
            <v>726562.2</v>
          </cell>
          <cell r="T24">
            <v>729359.2</v>
          </cell>
          <cell r="U24">
            <v>733422</v>
          </cell>
          <cell r="V24">
            <v>737088.8</v>
          </cell>
          <cell r="W24">
            <v>743012.2</v>
          </cell>
          <cell r="X24">
            <v>749371.8</v>
          </cell>
          <cell r="Y24">
            <v>753381.2</v>
          </cell>
          <cell r="Z24">
            <v>757713.2</v>
          </cell>
          <cell r="AA24">
            <v>761258.8</v>
          </cell>
          <cell r="AB24">
            <v>757574.2</v>
          </cell>
          <cell r="AC24">
            <v>748775.2</v>
          </cell>
          <cell r="AD24">
            <v>735419.8</v>
          </cell>
          <cell r="AE24">
            <v>710302.4</v>
          </cell>
          <cell r="AF24">
            <v>672582</v>
          </cell>
        </row>
        <row r="25">
          <cell r="A25">
            <v>23</v>
          </cell>
          <cell r="B25">
            <v>669296.6</v>
          </cell>
          <cell r="C25">
            <v>679118</v>
          </cell>
          <cell r="D25">
            <v>688918.8</v>
          </cell>
          <cell r="E25">
            <v>697987.2</v>
          </cell>
          <cell r="F25">
            <v>705550.8</v>
          </cell>
          <cell r="G25">
            <v>710962.2</v>
          </cell>
          <cell r="H25">
            <v>713716</v>
          </cell>
          <cell r="I25">
            <v>713900.4</v>
          </cell>
          <cell r="J25">
            <v>712237.4</v>
          </cell>
          <cell r="K25">
            <v>709677.8</v>
          </cell>
          <cell r="L25">
            <v>706952.4</v>
          </cell>
          <cell r="M25">
            <v>704609.8</v>
          </cell>
          <cell r="N25">
            <v>719517.4</v>
          </cell>
          <cell r="O25">
            <v>719728.4</v>
          </cell>
          <cell r="P25">
            <v>721763.8</v>
          </cell>
          <cell r="Q25">
            <v>725060.4</v>
          </cell>
          <cell r="R25">
            <v>726642.2</v>
          </cell>
          <cell r="S25">
            <v>726562.2</v>
          </cell>
          <cell r="T25">
            <v>729359.2</v>
          </cell>
          <cell r="U25">
            <v>733422</v>
          </cell>
          <cell r="V25">
            <v>737088.8</v>
          </cell>
          <cell r="W25">
            <v>743012.2</v>
          </cell>
          <cell r="X25">
            <v>749371.8</v>
          </cell>
          <cell r="Y25">
            <v>753381.2</v>
          </cell>
          <cell r="Z25">
            <v>757713.2</v>
          </cell>
          <cell r="AA25">
            <v>761258.8</v>
          </cell>
          <cell r="AB25">
            <v>757574.2</v>
          </cell>
          <cell r="AC25">
            <v>748775.2</v>
          </cell>
          <cell r="AD25">
            <v>735419.8</v>
          </cell>
          <cell r="AE25">
            <v>710302.4</v>
          </cell>
          <cell r="AF25">
            <v>672582</v>
          </cell>
        </row>
        <row r="26">
          <cell r="A26">
            <v>24</v>
          </cell>
          <cell r="B26">
            <v>669296.6</v>
          </cell>
          <cell r="C26">
            <v>679118</v>
          </cell>
          <cell r="D26">
            <v>688918.8</v>
          </cell>
          <cell r="E26">
            <v>697987.2</v>
          </cell>
          <cell r="F26">
            <v>705550.8</v>
          </cell>
          <cell r="G26">
            <v>710962.2</v>
          </cell>
          <cell r="H26">
            <v>713716</v>
          </cell>
          <cell r="I26">
            <v>713900.4</v>
          </cell>
          <cell r="J26">
            <v>712237.4</v>
          </cell>
          <cell r="K26">
            <v>709677.8</v>
          </cell>
          <cell r="L26">
            <v>706952.4</v>
          </cell>
          <cell r="M26">
            <v>704609.8</v>
          </cell>
          <cell r="N26">
            <v>719517.4</v>
          </cell>
          <cell r="O26">
            <v>719728.4</v>
          </cell>
          <cell r="P26">
            <v>721763.8</v>
          </cell>
          <cell r="Q26">
            <v>725060.4</v>
          </cell>
          <cell r="R26">
            <v>726642.2</v>
          </cell>
          <cell r="S26">
            <v>726562.2</v>
          </cell>
          <cell r="T26">
            <v>729359.2</v>
          </cell>
          <cell r="U26">
            <v>733422</v>
          </cell>
          <cell r="V26">
            <v>737088.8</v>
          </cell>
          <cell r="W26">
            <v>743012.2</v>
          </cell>
          <cell r="X26">
            <v>749371.8</v>
          </cell>
          <cell r="Y26">
            <v>753381.2</v>
          </cell>
          <cell r="Z26">
            <v>757713.2</v>
          </cell>
          <cell r="AA26">
            <v>761258.8</v>
          </cell>
          <cell r="AB26">
            <v>757574.2</v>
          </cell>
          <cell r="AC26">
            <v>748775.2</v>
          </cell>
          <cell r="AD26">
            <v>735419.8</v>
          </cell>
          <cell r="AE26">
            <v>710302.4</v>
          </cell>
          <cell r="AF26">
            <v>672582</v>
          </cell>
        </row>
        <row r="27">
          <cell r="A27">
            <v>25</v>
          </cell>
          <cell r="B27">
            <v>633374.80000000005</v>
          </cell>
          <cell r="C27">
            <v>636833.6</v>
          </cell>
          <cell r="D27">
            <v>642591.6</v>
          </cell>
          <cell r="E27">
            <v>650196.6</v>
          </cell>
          <cell r="F27">
            <v>658949.6</v>
          </cell>
          <cell r="G27">
            <v>668369.19999999995</v>
          </cell>
          <cell r="H27">
            <v>678156.2</v>
          </cell>
          <cell r="I27">
            <v>687908.4</v>
          </cell>
          <cell r="J27">
            <v>696934.2</v>
          </cell>
          <cell r="K27">
            <v>704466.6</v>
          </cell>
          <cell r="L27">
            <v>709848.6</v>
          </cell>
          <cell r="M27">
            <v>712590.2</v>
          </cell>
          <cell r="N27">
            <v>714486.8</v>
          </cell>
          <cell r="O27">
            <v>712863.2</v>
          </cell>
          <cell r="P27">
            <v>712001</v>
          </cell>
          <cell r="Q27">
            <v>711641.59999999998</v>
          </cell>
          <cell r="R27">
            <v>711787.8</v>
          </cell>
          <cell r="S27">
            <v>712872.2</v>
          </cell>
          <cell r="T27">
            <v>714014.4</v>
          </cell>
          <cell r="U27">
            <v>716758.6</v>
          </cell>
          <cell r="V27">
            <v>720473.4</v>
          </cell>
          <cell r="W27">
            <v>722289</v>
          </cell>
          <cell r="X27">
            <v>722343.2</v>
          </cell>
          <cell r="Y27">
            <v>725219</v>
          </cell>
          <cell r="Z27">
            <v>729347.8</v>
          </cell>
          <cell r="AA27">
            <v>733083.8</v>
          </cell>
          <cell r="AB27">
            <v>739068.2</v>
          </cell>
          <cell r="AC27">
            <v>745479.2</v>
          </cell>
          <cell r="AD27">
            <v>749541</v>
          </cell>
          <cell r="AE27">
            <v>753921.6</v>
          </cell>
          <cell r="AF27">
            <v>757523.4</v>
          </cell>
        </row>
        <row r="28">
          <cell r="A28">
            <v>26</v>
          </cell>
          <cell r="B28">
            <v>633374.80000000005</v>
          </cell>
          <cell r="C28">
            <v>636833.6</v>
          </cell>
          <cell r="D28">
            <v>642591.6</v>
          </cell>
          <cell r="E28">
            <v>650196.6</v>
          </cell>
          <cell r="F28">
            <v>658949.6</v>
          </cell>
          <cell r="G28">
            <v>668369.19999999995</v>
          </cell>
          <cell r="H28">
            <v>678156.2</v>
          </cell>
          <cell r="I28">
            <v>687908.4</v>
          </cell>
          <cell r="J28">
            <v>696934.2</v>
          </cell>
          <cell r="K28">
            <v>704466.6</v>
          </cell>
          <cell r="L28">
            <v>709848.6</v>
          </cell>
          <cell r="M28">
            <v>712590.2</v>
          </cell>
          <cell r="N28">
            <v>714486.8</v>
          </cell>
          <cell r="O28">
            <v>712863.2</v>
          </cell>
          <cell r="P28">
            <v>712001</v>
          </cell>
          <cell r="Q28">
            <v>711641.59999999998</v>
          </cell>
          <cell r="R28">
            <v>711787.8</v>
          </cell>
          <cell r="S28">
            <v>712872.2</v>
          </cell>
          <cell r="T28">
            <v>714014.4</v>
          </cell>
          <cell r="U28">
            <v>716758.6</v>
          </cell>
          <cell r="V28">
            <v>720473.4</v>
          </cell>
          <cell r="W28">
            <v>722289</v>
          </cell>
          <cell r="X28">
            <v>722343.2</v>
          </cell>
          <cell r="Y28">
            <v>725219</v>
          </cell>
          <cell r="Z28">
            <v>729347.8</v>
          </cell>
          <cell r="AA28">
            <v>733083.8</v>
          </cell>
          <cell r="AB28">
            <v>739068.2</v>
          </cell>
          <cell r="AC28">
            <v>745479.2</v>
          </cell>
          <cell r="AD28">
            <v>749541</v>
          </cell>
          <cell r="AE28">
            <v>753921.6</v>
          </cell>
          <cell r="AF28">
            <v>757523.4</v>
          </cell>
        </row>
        <row r="29">
          <cell r="A29">
            <v>27</v>
          </cell>
          <cell r="B29">
            <v>633374.80000000005</v>
          </cell>
          <cell r="C29">
            <v>636833.6</v>
          </cell>
          <cell r="D29">
            <v>642591.6</v>
          </cell>
          <cell r="E29">
            <v>650196.6</v>
          </cell>
          <cell r="F29">
            <v>658949.6</v>
          </cell>
          <cell r="G29">
            <v>668369.19999999995</v>
          </cell>
          <cell r="H29">
            <v>678156.2</v>
          </cell>
          <cell r="I29">
            <v>687908.4</v>
          </cell>
          <cell r="J29">
            <v>696934.2</v>
          </cell>
          <cell r="K29">
            <v>704466.6</v>
          </cell>
          <cell r="L29">
            <v>709848.6</v>
          </cell>
          <cell r="M29">
            <v>712590.2</v>
          </cell>
          <cell r="N29">
            <v>714486.8</v>
          </cell>
          <cell r="O29">
            <v>712863.2</v>
          </cell>
          <cell r="P29">
            <v>712001</v>
          </cell>
          <cell r="Q29">
            <v>711641.59999999998</v>
          </cell>
          <cell r="R29">
            <v>711787.8</v>
          </cell>
          <cell r="S29">
            <v>712872.2</v>
          </cell>
          <cell r="T29">
            <v>714014.4</v>
          </cell>
          <cell r="U29">
            <v>716758.6</v>
          </cell>
          <cell r="V29">
            <v>720473.4</v>
          </cell>
          <cell r="W29">
            <v>722289</v>
          </cell>
          <cell r="X29">
            <v>722343.2</v>
          </cell>
          <cell r="Y29">
            <v>725219</v>
          </cell>
          <cell r="Z29">
            <v>729347.8</v>
          </cell>
          <cell r="AA29">
            <v>733083.8</v>
          </cell>
          <cell r="AB29">
            <v>739068.2</v>
          </cell>
          <cell r="AC29">
            <v>745479.2</v>
          </cell>
          <cell r="AD29">
            <v>749541</v>
          </cell>
          <cell r="AE29">
            <v>753921.6</v>
          </cell>
          <cell r="AF29">
            <v>757523.4</v>
          </cell>
        </row>
        <row r="30">
          <cell r="A30">
            <v>28</v>
          </cell>
          <cell r="B30">
            <v>633374.80000000005</v>
          </cell>
          <cell r="C30">
            <v>636833.6</v>
          </cell>
          <cell r="D30">
            <v>642591.6</v>
          </cell>
          <cell r="E30">
            <v>650196.6</v>
          </cell>
          <cell r="F30">
            <v>658949.6</v>
          </cell>
          <cell r="G30">
            <v>668369.19999999995</v>
          </cell>
          <cell r="H30">
            <v>678156.2</v>
          </cell>
          <cell r="I30">
            <v>687908.4</v>
          </cell>
          <cell r="J30">
            <v>696934.2</v>
          </cell>
          <cell r="K30">
            <v>704466.6</v>
          </cell>
          <cell r="L30">
            <v>709848.6</v>
          </cell>
          <cell r="M30">
            <v>712590.2</v>
          </cell>
          <cell r="N30">
            <v>714486.8</v>
          </cell>
          <cell r="O30">
            <v>712863.2</v>
          </cell>
          <cell r="P30">
            <v>712001</v>
          </cell>
          <cell r="Q30">
            <v>711641.59999999998</v>
          </cell>
          <cell r="R30">
            <v>711787.8</v>
          </cell>
          <cell r="S30">
            <v>712872.2</v>
          </cell>
          <cell r="T30">
            <v>714014.4</v>
          </cell>
          <cell r="U30">
            <v>716758.6</v>
          </cell>
          <cell r="V30">
            <v>720473.4</v>
          </cell>
          <cell r="W30">
            <v>722289</v>
          </cell>
          <cell r="X30">
            <v>722343.2</v>
          </cell>
          <cell r="Y30">
            <v>725219</v>
          </cell>
          <cell r="Z30">
            <v>729347.8</v>
          </cell>
          <cell r="AA30">
            <v>733083.8</v>
          </cell>
          <cell r="AB30">
            <v>739068.2</v>
          </cell>
          <cell r="AC30">
            <v>745479.2</v>
          </cell>
          <cell r="AD30">
            <v>749541</v>
          </cell>
          <cell r="AE30">
            <v>753921.6</v>
          </cell>
          <cell r="AF30">
            <v>757523.4</v>
          </cell>
        </row>
        <row r="31">
          <cell r="A31">
            <v>29</v>
          </cell>
          <cell r="B31">
            <v>633374.80000000005</v>
          </cell>
          <cell r="C31">
            <v>636833.6</v>
          </cell>
          <cell r="D31">
            <v>642591.6</v>
          </cell>
          <cell r="E31">
            <v>650196.6</v>
          </cell>
          <cell r="F31">
            <v>658949.6</v>
          </cell>
          <cell r="G31">
            <v>668369.19999999995</v>
          </cell>
          <cell r="H31">
            <v>678156.2</v>
          </cell>
          <cell r="I31">
            <v>687908.4</v>
          </cell>
          <cell r="J31">
            <v>696934.2</v>
          </cell>
          <cell r="K31">
            <v>704466.6</v>
          </cell>
          <cell r="L31">
            <v>709848.6</v>
          </cell>
          <cell r="M31">
            <v>712590.2</v>
          </cell>
          <cell r="N31">
            <v>714486.8</v>
          </cell>
          <cell r="O31">
            <v>712863.2</v>
          </cell>
          <cell r="P31">
            <v>712001</v>
          </cell>
          <cell r="Q31">
            <v>711641.59999999998</v>
          </cell>
          <cell r="R31">
            <v>711787.8</v>
          </cell>
          <cell r="S31">
            <v>712872.2</v>
          </cell>
          <cell r="T31">
            <v>714014.4</v>
          </cell>
          <cell r="U31">
            <v>716758.6</v>
          </cell>
          <cell r="V31">
            <v>720473.4</v>
          </cell>
          <cell r="W31">
            <v>722289</v>
          </cell>
          <cell r="X31">
            <v>722343.2</v>
          </cell>
          <cell r="Y31">
            <v>725219</v>
          </cell>
          <cell r="Z31">
            <v>729347.8</v>
          </cell>
          <cell r="AA31">
            <v>733083.8</v>
          </cell>
          <cell r="AB31">
            <v>739068.2</v>
          </cell>
          <cell r="AC31">
            <v>745479.2</v>
          </cell>
          <cell r="AD31">
            <v>749541</v>
          </cell>
          <cell r="AE31">
            <v>753921.6</v>
          </cell>
          <cell r="AF31">
            <v>757523.4</v>
          </cell>
        </row>
        <row r="32">
          <cell r="A32">
            <v>30</v>
          </cell>
          <cell r="B32">
            <v>622475</v>
          </cell>
          <cell r="C32">
            <v>628596.4</v>
          </cell>
          <cell r="D32">
            <v>630866.80000000005</v>
          </cell>
          <cell r="E32">
            <v>630886</v>
          </cell>
          <cell r="F32">
            <v>630712.19999999995</v>
          </cell>
          <cell r="G32">
            <v>631919</v>
          </cell>
          <cell r="H32">
            <v>635401.6</v>
          </cell>
          <cell r="I32">
            <v>641167.19999999995</v>
          </cell>
          <cell r="J32">
            <v>648768.19999999995</v>
          </cell>
          <cell r="K32">
            <v>657510.6</v>
          </cell>
          <cell r="L32">
            <v>666908.6</v>
          </cell>
          <cell r="M32">
            <v>676670.4</v>
          </cell>
          <cell r="N32">
            <v>697573.8</v>
          </cell>
          <cell r="O32">
            <v>702374.6</v>
          </cell>
          <cell r="P32">
            <v>705002.8</v>
          </cell>
          <cell r="Q32">
            <v>706156.6</v>
          </cell>
          <cell r="R32">
            <v>706245.6</v>
          </cell>
          <cell r="S32">
            <v>705687</v>
          </cell>
          <cell r="T32">
            <v>705220</v>
          </cell>
          <cell r="U32">
            <v>705312.6</v>
          </cell>
          <cell r="V32">
            <v>705533.6</v>
          </cell>
          <cell r="W32">
            <v>706016.8</v>
          </cell>
          <cell r="X32">
            <v>707293</v>
          </cell>
          <cell r="Y32">
            <v>708560.8</v>
          </cell>
          <cell r="Z32">
            <v>711409.4</v>
          </cell>
          <cell r="AA32">
            <v>715237</v>
          </cell>
          <cell r="AB32">
            <v>717180.6</v>
          </cell>
          <cell r="AC32">
            <v>717366.6</v>
          </cell>
          <cell r="AD32">
            <v>720350.8</v>
          </cell>
          <cell r="AE32">
            <v>724569.4</v>
          </cell>
          <cell r="AF32">
            <v>728389.4</v>
          </cell>
        </row>
        <row r="33">
          <cell r="A33">
            <v>31</v>
          </cell>
          <cell r="B33">
            <v>622475</v>
          </cell>
          <cell r="C33">
            <v>628596.4</v>
          </cell>
          <cell r="D33">
            <v>630866.80000000005</v>
          </cell>
          <cell r="E33">
            <v>630886</v>
          </cell>
          <cell r="F33">
            <v>630712.19999999995</v>
          </cell>
          <cell r="G33">
            <v>631919</v>
          </cell>
          <cell r="H33">
            <v>635401.6</v>
          </cell>
          <cell r="I33">
            <v>641167.19999999995</v>
          </cell>
          <cell r="J33">
            <v>648768.19999999995</v>
          </cell>
          <cell r="K33">
            <v>657510.6</v>
          </cell>
          <cell r="L33">
            <v>666908.6</v>
          </cell>
          <cell r="M33">
            <v>676670.4</v>
          </cell>
          <cell r="N33">
            <v>697573.8</v>
          </cell>
          <cell r="O33">
            <v>702374.6</v>
          </cell>
          <cell r="P33">
            <v>705002.8</v>
          </cell>
          <cell r="Q33">
            <v>706156.6</v>
          </cell>
          <cell r="R33">
            <v>706245.6</v>
          </cell>
          <cell r="S33">
            <v>705687</v>
          </cell>
          <cell r="T33">
            <v>705220</v>
          </cell>
          <cell r="U33">
            <v>705312.6</v>
          </cell>
          <cell r="V33">
            <v>705533.6</v>
          </cell>
          <cell r="W33">
            <v>706016.8</v>
          </cell>
          <cell r="X33">
            <v>707293</v>
          </cell>
          <cell r="Y33">
            <v>708560.8</v>
          </cell>
          <cell r="Z33">
            <v>711409.4</v>
          </cell>
          <cell r="AA33">
            <v>715237</v>
          </cell>
          <cell r="AB33">
            <v>717180.6</v>
          </cell>
          <cell r="AC33">
            <v>717366.6</v>
          </cell>
          <cell r="AD33">
            <v>720350.8</v>
          </cell>
          <cell r="AE33">
            <v>724569.4</v>
          </cell>
          <cell r="AF33">
            <v>728389.4</v>
          </cell>
        </row>
        <row r="34">
          <cell r="A34">
            <v>32</v>
          </cell>
          <cell r="B34">
            <v>622475</v>
          </cell>
          <cell r="C34">
            <v>628596.4</v>
          </cell>
          <cell r="D34">
            <v>630866.80000000005</v>
          </cell>
          <cell r="E34">
            <v>630886</v>
          </cell>
          <cell r="F34">
            <v>630712.19999999995</v>
          </cell>
          <cell r="G34">
            <v>631919</v>
          </cell>
          <cell r="H34">
            <v>635401.6</v>
          </cell>
          <cell r="I34">
            <v>641167.19999999995</v>
          </cell>
          <cell r="J34">
            <v>648768.19999999995</v>
          </cell>
          <cell r="K34">
            <v>657510.6</v>
          </cell>
          <cell r="L34">
            <v>666908.6</v>
          </cell>
          <cell r="M34">
            <v>676670.4</v>
          </cell>
          <cell r="N34">
            <v>697573.8</v>
          </cell>
          <cell r="O34">
            <v>702374.6</v>
          </cell>
          <cell r="P34">
            <v>705002.8</v>
          </cell>
          <cell r="Q34">
            <v>706156.6</v>
          </cell>
          <cell r="R34">
            <v>706245.6</v>
          </cell>
          <cell r="S34">
            <v>705687</v>
          </cell>
          <cell r="T34">
            <v>705220</v>
          </cell>
          <cell r="U34">
            <v>705312.6</v>
          </cell>
          <cell r="V34">
            <v>705533.6</v>
          </cell>
          <cell r="W34">
            <v>706016.8</v>
          </cell>
          <cell r="X34">
            <v>707293</v>
          </cell>
          <cell r="Y34">
            <v>708560.8</v>
          </cell>
          <cell r="Z34">
            <v>711409.4</v>
          </cell>
          <cell r="AA34">
            <v>715237</v>
          </cell>
          <cell r="AB34">
            <v>717180.6</v>
          </cell>
          <cell r="AC34">
            <v>717366.6</v>
          </cell>
          <cell r="AD34">
            <v>720350.8</v>
          </cell>
          <cell r="AE34">
            <v>724569.4</v>
          </cell>
          <cell r="AF34">
            <v>728389.4</v>
          </cell>
        </row>
        <row r="35">
          <cell r="A35">
            <v>33</v>
          </cell>
          <cell r="B35">
            <v>622475</v>
          </cell>
          <cell r="C35">
            <v>628596.4</v>
          </cell>
          <cell r="D35">
            <v>630866.80000000005</v>
          </cell>
          <cell r="E35">
            <v>630886</v>
          </cell>
          <cell r="F35">
            <v>630712.19999999995</v>
          </cell>
          <cell r="G35">
            <v>631919</v>
          </cell>
          <cell r="H35">
            <v>635401.6</v>
          </cell>
          <cell r="I35">
            <v>641167.19999999995</v>
          </cell>
          <cell r="J35">
            <v>648768.19999999995</v>
          </cell>
          <cell r="K35">
            <v>657510.6</v>
          </cell>
          <cell r="L35">
            <v>666908.6</v>
          </cell>
          <cell r="M35">
            <v>676670.4</v>
          </cell>
          <cell r="N35">
            <v>697573.8</v>
          </cell>
          <cell r="O35">
            <v>702374.6</v>
          </cell>
          <cell r="P35">
            <v>705002.8</v>
          </cell>
          <cell r="Q35">
            <v>706156.6</v>
          </cell>
          <cell r="R35">
            <v>706245.6</v>
          </cell>
          <cell r="S35">
            <v>705687</v>
          </cell>
          <cell r="T35">
            <v>705220</v>
          </cell>
          <cell r="U35">
            <v>705312.6</v>
          </cell>
          <cell r="V35">
            <v>705533.6</v>
          </cell>
          <cell r="W35">
            <v>706016.8</v>
          </cell>
          <cell r="X35">
            <v>707293</v>
          </cell>
          <cell r="Y35">
            <v>708560.8</v>
          </cell>
          <cell r="Z35">
            <v>711409.4</v>
          </cell>
          <cell r="AA35">
            <v>715237</v>
          </cell>
          <cell r="AB35">
            <v>717180.6</v>
          </cell>
          <cell r="AC35">
            <v>717366.6</v>
          </cell>
          <cell r="AD35">
            <v>720350.8</v>
          </cell>
          <cell r="AE35">
            <v>724569.4</v>
          </cell>
          <cell r="AF35">
            <v>728389.4</v>
          </cell>
        </row>
        <row r="36">
          <cell r="A36">
            <v>34</v>
          </cell>
          <cell r="B36">
            <v>622475</v>
          </cell>
          <cell r="C36">
            <v>628596.4</v>
          </cell>
          <cell r="D36">
            <v>630866.80000000005</v>
          </cell>
          <cell r="E36">
            <v>630886</v>
          </cell>
          <cell r="F36">
            <v>630712.19999999995</v>
          </cell>
          <cell r="G36">
            <v>631919</v>
          </cell>
          <cell r="H36">
            <v>635401.6</v>
          </cell>
          <cell r="I36">
            <v>641167.19999999995</v>
          </cell>
          <cell r="J36">
            <v>648768.19999999995</v>
          </cell>
          <cell r="K36">
            <v>657510.6</v>
          </cell>
          <cell r="L36">
            <v>666908.6</v>
          </cell>
          <cell r="M36">
            <v>676670.4</v>
          </cell>
          <cell r="N36">
            <v>697573.8</v>
          </cell>
          <cell r="O36">
            <v>702374.6</v>
          </cell>
          <cell r="P36">
            <v>705002.8</v>
          </cell>
          <cell r="Q36">
            <v>706156.6</v>
          </cell>
          <cell r="R36">
            <v>706245.6</v>
          </cell>
          <cell r="S36">
            <v>705687</v>
          </cell>
          <cell r="T36">
            <v>705220</v>
          </cell>
          <cell r="U36">
            <v>705312.6</v>
          </cell>
          <cell r="V36">
            <v>705533.6</v>
          </cell>
          <cell r="W36">
            <v>706016.8</v>
          </cell>
          <cell r="X36">
            <v>707293</v>
          </cell>
          <cell r="Y36">
            <v>708560.8</v>
          </cell>
          <cell r="Z36">
            <v>711409.4</v>
          </cell>
          <cell r="AA36">
            <v>715237</v>
          </cell>
          <cell r="AB36">
            <v>717180.6</v>
          </cell>
          <cell r="AC36">
            <v>717366.6</v>
          </cell>
          <cell r="AD36">
            <v>720350.8</v>
          </cell>
          <cell r="AE36">
            <v>724569.4</v>
          </cell>
          <cell r="AF36">
            <v>728389.4</v>
          </cell>
        </row>
        <row r="37">
          <cell r="A37">
            <v>35</v>
          </cell>
          <cell r="B37">
            <v>542228.80000000005</v>
          </cell>
          <cell r="C37">
            <v>560065.80000000005</v>
          </cell>
          <cell r="D37">
            <v>578114.80000000005</v>
          </cell>
          <cell r="E37">
            <v>595078.19999999995</v>
          </cell>
          <cell r="F37">
            <v>609417.4</v>
          </cell>
          <cell r="G37">
            <v>619967</v>
          </cell>
          <cell r="H37">
            <v>626104.80000000005</v>
          </cell>
          <cell r="I37">
            <v>628426</v>
          </cell>
          <cell r="J37">
            <v>628497</v>
          </cell>
          <cell r="K37">
            <v>628374.19999999995</v>
          </cell>
          <cell r="L37">
            <v>629624</v>
          </cell>
          <cell r="M37">
            <v>633131.19999999995</v>
          </cell>
          <cell r="N37">
            <v>648008.6</v>
          </cell>
          <cell r="O37">
            <v>655554</v>
          </cell>
          <cell r="P37">
            <v>664976</v>
          </cell>
          <cell r="Q37">
            <v>674414.6</v>
          </cell>
          <cell r="R37">
            <v>683128.8</v>
          </cell>
          <cell r="S37">
            <v>690754.8</v>
          </cell>
          <cell r="T37">
            <v>696319.4</v>
          </cell>
          <cell r="U37">
            <v>699597.2</v>
          </cell>
          <cell r="V37">
            <v>701146</v>
          </cell>
          <cell r="W37">
            <v>701470.8</v>
          </cell>
          <cell r="X37">
            <v>701049.8</v>
          </cell>
          <cell r="Y37">
            <v>700669.4</v>
          </cell>
          <cell r="Z37">
            <v>700832</v>
          </cell>
          <cell r="AA37">
            <v>701127.8</v>
          </cell>
          <cell r="AB37">
            <v>701692.2</v>
          </cell>
          <cell r="AC37">
            <v>703047.2</v>
          </cell>
          <cell r="AD37">
            <v>704390.6</v>
          </cell>
          <cell r="AE37">
            <v>707303.2</v>
          </cell>
          <cell r="AF37">
            <v>711183.6</v>
          </cell>
        </row>
        <row r="38">
          <cell r="A38">
            <v>36</v>
          </cell>
          <cell r="B38">
            <v>542228.80000000005</v>
          </cell>
          <cell r="C38">
            <v>560065.80000000005</v>
          </cell>
          <cell r="D38">
            <v>578114.80000000005</v>
          </cell>
          <cell r="E38">
            <v>595078.19999999995</v>
          </cell>
          <cell r="F38">
            <v>609417.4</v>
          </cell>
          <cell r="G38">
            <v>619967</v>
          </cell>
          <cell r="H38">
            <v>626104.80000000005</v>
          </cell>
          <cell r="I38">
            <v>628426</v>
          </cell>
          <cell r="J38">
            <v>628497</v>
          </cell>
          <cell r="K38">
            <v>628374.19999999995</v>
          </cell>
          <cell r="L38">
            <v>629624</v>
          </cell>
          <cell r="M38">
            <v>633131.19999999995</v>
          </cell>
          <cell r="N38">
            <v>648008.6</v>
          </cell>
          <cell r="O38">
            <v>655554</v>
          </cell>
          <cell r="P38">
            <v>664976</v>
          </cell>
          <cell r="Q38">
            <v>674414.6</v>
          </cell>
          <cell r="R38">
            <v>683128.8</v>
          </cell>
          <cell r="S38">
            <v>690754.8</v>
          </cell>
          <cell r="T38">
            <v>696319.4</v>
          </cell>
          <cell r="U38">
            <v>699597.2</v>
          </cell>
          <cell r="V38">
            <v>701146</v>
          </cell>
          <cell r="W38">
            <v>701470.8</v>
          </cell>
          <cell r="X38">
            <v>701049.8</v>
          </cell>
          <cell r="Y38">
            <v>700669.4</v>
          </cell>
          <cell r="Z38">
            <v>700832</v>
          </cell>
          <cell r="AA38">
            <v>701127.8</v>
          </cell>
          <cell r="AB38">
            <v>701692.2</v>
          </cell>
          <cell r="AC38">
            <v>703047.2</v>
          </cell>
          <cell r="AD38">
            <v>704390.6</v>
          </cell>
          <cell r="AE38">
            <v>707303.2</v>
          </cell>
          <cell r="AF38">
            <v>711183.6</v>
          </cell>
        </row>
        <row r="39">
          <cell r="A39">
            <v>37</v>
          </cell>
          <cell r="B39">
            <v>542228.80000000005</v>
          </cell>
          <cell r="C39">
            <v>560065.80000000005</v>
          </cell>
          <cell r="D39">
            <v>578114.80000000005</v>
          </cell>
          <cell r="E39">
            <v>595078.19999999995</v>
          </cell>
          <cell r="F39">
            <v>609417.4</v>
          </cell>
          <cell r="G39">
            <v>619967</v>
          </cell>
          <cell r="H39">
            <v>626104.80000000005</v>
          </cell>
          <cell r="I39">
            <v>628426</v>
          </cell>
          <cell r="J39">
            <v>628497</v>
          </cell>
          <cell r="K39">
            <v>628374.19999999995</v>
          </cell>
          <cell r="L39">
            <v>629624</v>
          </cell>
          <cell r="M39">
            <v>633131.19999999995</v>
          </cell>
          <cell r="N39">
            <v>648008.6</v>
          </cell>
          <cell r="O39">
            <v>655554</v>
          </cell>
          <cell r="P39">
            <v>664976</v>
          </cell>
          <cell r="Q39">
            <v>674414.6</v>
          </cell>
          <cell r="R39">
            <v>683128.8</v>
          </cell>
          <cell r="S39">
            <v>690754.8</v>
          </cell>
          <cell r="T39">
            <v>696319.4</v>
          </cell>
          <cell r="U39">
            <v>699597.2</v>
          </cell>
          <cell r="V39">
            <v>701146</v>
          </cell>
          <cell r="W39">
            <v>701470.8</v>
          </cell>
          <cell r="X39">
            <v>701049.8</v>
          </cell>
          <cell r="Y39">
            <v>700669.4</v>
          </cell>
          <cell r="Z39">
            <v>700832</v>
          </cell>
          <cell r="AA39">
            <v>701127.8</v>
          </cell>
          <cell r="AB39">
            <v>701692.2</v>
          </cell>
          <cell r="AC39">
            <v>703047.2</v>
          </cell>
          <cell r="AD39">
            <v>704390.6</v>
          </cell>
          <cell r="AE39">
            <v>707303.2</v>
          </cell>
          <cell r="AF39">
            <v>711183.6</v>
          </cell>
        </row>
        <row r="40">
          <cell r="A40">
            <v>38</v>
          </cell>
          <cell r="B40">
            <v>542228.80000000005</v>
          </cell>
          <cell r="C40">
            <v>560065.80000000005</v>
          </cell>
          <cell r="D40">
            <v>578114.80000000005</v>
          </cell>
          <cell r="E40">
            <v>595078.19999999995</v>
          </cell>
          <cell r="F40">
            <v>609417.4</v>
          </cell>
          <cell r="G40">
            <v>619967</v>
          </cell>
          <cell r="H40">
            <v>626104.80000000005</v>
          </cell>
          <cell r="I40">
            <v>628426</v>
          </cell>
          <cell r="J40">
            <v>628497</v>
          </cell>
          <cell r="K40">
            <v>628374.19999999995</v>
          </cell>
          <cell r="L40">
            <v>629624</v>
          </cell>
          <cell r="M40">
            <v>633131.19999999995</v>
          </cell>
          <cell r="N40">
            <v>648008.6</v>
          </cell>
          <cell r="O40">
            <v>655554</v>
          </cell>
          <cell r="P40">
            <v>664976</v>
          </cell>
          <cell r="Q40">
            <v>674414.6</v>
          </cell>
          <cell r="R40">
            <v>683128.8</v>
          </cell>
          <cell r="S40">
            <v>690754.8</v>
          </cell>
          <cell r="T40">
            <v>696319.4</v>
          </cell>
          <cell r="U40">
            <v>699597.2</v>
          </cell>
          <cell r="V40">
            <v>701146</v>
          </cell>
          <cell r="W40">
            <v>701470.8</v>
          </cell>
          <cell r="X40">
            <v>701049.8</v>
          </cell>
          <cell r="Y40">
            <v>700669.4</v>
          </cell>
          <cell r="Z40">
            <v>700832</v>
          </cell>
          <cell r="AA40">
            <v>701127.8</v>
          </cell>
          <cell r="AB40">
            <v>701692.2</v>
          </cell>
          <cell r="AC40">
            <v>703047.2</v>
          </cell>
          <cell r="AD40">
            <v>704390.6</v>
          </cell>
          <cell r="AE40">
            <v>707303.2</v>
          </cell>
          <cell r="AF40">
            <v>711183.6</v>
          </cell>
        </row>
        <row r="41">
          <cell r="A41">
            <v>39</v>
          </cell>
          <cell r="B41">
            <v>542228.80000000005</v>
          </cell>
          <cell r="C41">
            <v>560065.80000000005</v>
          </cell>
          <cell r="D41">
            <v>578114.80000000005</v>
          </cell>
          <cell r="E41">
            <v>595078.19999999995</v>
          </cell>
          <cell r="F41">
            <v>609417.4</v>
          </cell>
          <cell r="G41">
            <v>619967</v>
          </cell>
          <cell r="H41">
            <v>626104.80000000005</v>
          </cell>
          <cell r="I41">
            <v>628426</v>
          </cell>
          <cell r="J41">
            <v>628497</v>
          </cell>
          <cell r="K41">
            <v>628374.19999999995</v>
          </cell>
          <cell r="L41">
            <v>629624</v>
          </cell>
          <cell r="M41">
            <v>633131.19999999995</v>
          </cell>
          <cell r="N41">
            <v>648008.6</v>
          </cell>
          <cell r="O41">
            <v>655554</v>
          </cell>
          <cell r="P41">
            <v>664976</v>
          </cell>
          <cell r="Q41">
            <v>674414.6</v>
          </cell>
          <cell r="R41">
            <v>683128.8</v>
          </cell>
          <cell r="S41">
            <v>690754.8</v>
          </cell>
          <cell r="T41">
            <v>696319.4</v>
          </cell>
          <cell r="U41">
            <v>699597.2</v>
          </cell>
          <cell r="V41">
            <v>701146</v>
          </cell>
          <cell r="W41">
            <v>701470.8</v>
          </cell>
          <cell r="X41">
            <v>701049.8</v>
          </cell>
          <cell r="Y41">
            <v>700669.4</v>
          </cell>
          <cell r="Z41">
            <v>700832</v>
          </cell>
          <cell r="AA41">
            <v>701127.8</v>
          </cell>
          <cell r="AB41">
            <v>701692.2</v>
          </cell>
          <cell r="AC41">
            <v>703047.2</v>
          </cell>
          <cell r="AD41">
            <v>704390.6</v>
          </cell>
          <cell r="AE41">
            <v>707303.2</v>
          </cell>
          <cell r="AF41">
            <v>711183.6</v>
          </cell>
        </row>
        <row r="42">
          <cell r="A42">
            <v>40</v>
          </cell>
          <cell r="B42">
            <v>469561.8</v>
          </cell>
          <cell r="C42">
            <v>479340.4</v>
          </cell>
          <cell r="D42">
            <v>491536.8</v>
          </cell>
          <cell r="E42">
            <v>505779</v>
          </cell>
          <cell r="F42">
            <v>521577.4</v>
          </cell>
          <cell r="G42">
            <v>538497.19999999995</v>
          </cell>
          <cell r="H42">
            <v>556277.6</v>
          </cell>
          <cell r="I42">
            <v>574256.4</v>
          </cell>
          <cell r="J42">
            <v>591166.80000000005</v>
          </cell>
          <cell r="K42">
            <v>605466.80000000005</v>
          </cell>
          <cell r="L42">
            <v>616014.80000000005</v>
          </cell>
          <cell r="M42">
            <v>622176.80000000005</v>
          </cell>
          <cell r="N42">
            <v>649630.4</v>
          </cell>
          <cell r="O42">
            <v>644986.6</v>
          </cell>
          <cell r="P42">
            <v>639172.80000000005</v>
          </cell>
          <cell r="Q42">
            <v>636191.6</v>
          </cell>
          <cell r="R42">
            <v>637048.19999999995</v>
          </cell>
          <cell r="S42">
            <v>641636.80000000005</v>
          </cell>
          <cell r="T42">
            <v>649691.80000000005</v>
          </cell>
          <cell r="U42">
            <v>659486.19999999995</v>
          </cell>
          <cell r="V42">
            <v>669132.6</v>
          </cell>
          <cell r="W42">
            <v>677957.2</v>
          </cell>
          <cell r="X42">
            <v>685640.6</v>
          </cell>
          <cell r="Y42">
            <v>691243.2</v>
          </cell>
          <cell r="Z42">
            <v>694564.2</v>
          </cell>
          <cell r="AA42">
            <v>696170.4</v>
          </cell>
          <cell r="AB42">
            <v>696565.8</v>
          </cell>
          <cell r="AC42">
            <v>696222.2</v>
          </cell>
          <cell r="AD42">
            <v>695918.2</v>
          </cell>
          <cell r="AE42">
            <v>696151.8</v>
          </cell>
          <cell r="AF42">
            <v>696516.4</v>
          </cell>
        </row>
        <row r="43">
          <cell r="A43">
            <v>41</v>
          </cell>
          <cell r="B43">
            <v>469561.8</v>
          </cell>
          <cell r="C43">
            <v>479340.4</v>
          </cell>
          <cell r="D43">
            <v>491536.8</v>
          </cell>
          <cell r="E43">
            <v>505779</v>
          </cell>
          <cell r="F43">
            <v>521577.4</v>
          </cell>
          <cell r="G43">
            <v>538497.19999999995</v>
          </cell>
          <cell r="H43">
            <v>556277.6</v>
          </cell>
          <cell r="I43">
            <v>574256.4</v>
          </cell>
          <cell r="J43">
            <v>591166.80000000005</v>
          </cell>
          <cell r="K43">
            <v>605466.80000000005</v>
          </cell>
          <cell r="L43">
            <v>616014.80000000005</v>
          </cell>
          <cell r="M43">
            <v>622176.80000000005</v>
          </cell>
          <cell r="N43">
            <v>649630.4</v>
          </cell>
          <cell r="O43">
            <v>644986.6</v>
          </cell>
          <cell r="P43">
            <v>639172.80000000005</v>
          </cell>
          <cell r="Q43">
            <v>636191.6</v>
          </cell>
          <cell r="R43">
            <v>637048.19999999995</v>
          </cell>
          <cell r="S43">
            <v>641636.80000000005</v>
          </cell>
          <cell r="T43">
            <v>649691.80000000005</v>
          </cell>
          <cell r="U43">
            <v>659486.19999999995</v>
          </cell>
          <cell r="V43">
            <v>669132.6</v>
          </cell>
          <cell r="W43">
            <v>677957.2</v>
          </cell>
          <cell r="X43">
            <v>685640.6</v>
          </cell>
          <cell r="Y43">
            <v>691243.2</v>
          </cell>
          <cell r="Z43">
            <v>694564.2</v>
          </cell>
          <cell r="AA43">
            <v>696170.4</v>
          </cell>
          <cell r="AB43">
            <v>696565.8</v>
          </cell>
          <cell r="AC43">
            <v>696222.2</v>
          </cell>
          <cell r="AD43">
            <v>695918.2</v>
          </cell>
          <cell r="AE43">
            <v>696151.8</v>
          </cell>
          <cell r="AF43">
            <v>696516.4</v>
          </cell>
        </row>
        <row r="44">
          <cell r="A44">
            <v>42</v>
          </cell>
          <cell r="B44">
            <v>469561.8</v>
          </cell>
          <cell r="C44">
            <v>479340.4</v>
          </cell>
          <cell r="D44">
            <v>491536.8</v>
          </cell>
          <cell r="E44">
            <v>505779</v>
          </cell>
          <cell r="F44">
            <v>521577.4</v>
          </cell>
          <cell r="G44">
            <v>538497.19999999995</v>
          </cell>
          <cell r="H44">
            <v>556277.6</v>
          </cell>
          <cell r="I44">
            <v>574256.4</v>
          </cell>
          <cell r="J44">
            <v>591166.80000000005</v>
          </cell>
          <cell r="K44">
            <v>605466.80000000005</v>
          </cell>
          <cell r="L44">
            <v>616014.80000000005</v>
          </cell>
          <cell r="M44">
            <v>622176.80000000005</v>
          </cell>
          <cell r="N44">
            <v>649630.4</v>
          </cell>
          <cell r="O44">
            <v>644986.6</v>
          </cell>
          <cell r="P44">
            <v>639172.80000000005</v>
          </cell>
          <cell r="Q44">
            <v>636191.6</v>
          </cell>
          <cell r="R44">
            <v>637048.19999999995</v>
          </cell>
          <cell r="S44">
            <v>641636.80000000005</v>
          </cell>
          <cell r="T44">
            <v>649691.80000000005</v>
          </cell>
          <cell r="U44">
            <v>659486.19999999995</v>
          </cell>
          <cell r="V44">
            <v>669132.6</v>
          </cell>
          <cell r="W44">
            <v>677957.2</v>
          </cell>
          <cell r="X44">
            <v>685640.6</v>
          </cell>
          <cell r="Y44">
            <v>691243.2</v>
          </cell>
          <cell r="Z44">
            <v>694564.2</v>
          </cell>
          <cell r="AA44">
            <v>696170.4</v>
          </cell>
          <cell r="AB44">
            <v>696565.8</v>
          </cell>
          <cell r="AC44">
            <v>696222.2</v>
          </cell>
          <cell r="AD44">
            <v>695918.2</v>
          </cell>
          <cell r="AE44">
            <v>696151.8</v>
          </cell>
          <cell r="AF44">
            <v>696516.4</v>
          </cell>
        </row>
        <row r="45">
          <cell r="A45">
            <v>43</v>
          </cell>
          <cell r="B45">
            <v>469561.8</v>
          </cell>
          <cell r="C45">
            <v>479340.4</v>
          </cell>
          <cell r="D45">
            <v>491536.8</v>
          </cell>
          <cell r="E45">
            <v>505779</v>
          </cell>
          <cell r="F45">
            <v>521577.4</v>
          </cell>
          <cell r="G45">
            <v>538497.19999999995</v>
          </cell>
          <cell r="H45">
            <v>556277.6</v>
          </cell>
          <cell r="I45">
            <v>574256.4</v>
          </cell>
          <cell r="J45">
            <v>591166.80000000005</v>
          </cell>
          <cell r="K45">
            <v>605466.80000000005</v>
          </cell>
          <cell r="L45">
            <v>616014.80000000005</v>
          </cell>
          <cell r="M45">
            <v>622176.80000000005</v>
          </cell>
          <cell r="N45">
            <v>649630.4</v>
          </cell>
          <cell r="O45">
            <v>644986.6</v>
          </cell>
          <cell r="P45">
            <v>639172.80000000005</v>
          </cell>
          <cell r="Q45">
            <v>636191.6</v>
          </cell>
          <cell r="R45">
            <v>637048.19999999995</v>
          </cell>
          <cell r="S45">
            <v>641636.80000000005</v>
          </cell>
          <cell r="T45">
            <v>649691.80000000005</v>
          </cell>
          <cell r="U45">
            <v>659486.19999999995</v>
          </cell>
          <cell r="V45">
            <v>669132.6</v>
          </cell>
          <cell r="W45">
            <v>677957.2</v>
          </cell>
          <cell r="X45">
            <v>685640.6</v>
          </cell>
          <cell r="Y45">
            <v>691243.2</v>
          </cell>
          <cell r="Z45">
            <v>694564.2</v>
          </cell>
          <cell r="AA45">
            <v>696170.4</v>
          </cell>
          <cell r="AB45">
            <v>696565.8</v>
          </cell>
          <cell r="AC45">
            <v>696222.2</v>
          </cell>
          <cell r="AD45">
            <v>695918.2</v>
          </cell>
          <cell r="AE45">
            <v>696151.8</v>
          </cell>
          <cell r="AF45">
            <v>696516.4</v>
          </cell>
        </row>
        <row r="46">
          <cell r="A46">
            <v>44</v>
          </cell>
          <cell r="B46">
            <v>469561.8</v>
          </cell>
          <cell r="C46">
            <v>479340.4</v>
          </cell>
          <cell r="D46">
            <v>491536.8</v>
          </cell>
          <cell r="E46">
            <v>505779</v>
          </cell>
          <cell r="F46">
            <v>521577.4</v>
          </cell>
          <cell r="G46">
            <v>538497.19999999995</v>
          </cell>
          <cell r="H46">
            <v>556277.6</v>
          </cell>
          <cell r="I46">
            <v>574256.4</v>
          </cell>
          <cell r="J46">
            <v>591166.80000000005</v>
          </cell>
          <cell r="K46">
            <v>605466.80000000005</v>
          </cell>
          <cell r="L46">
            <v>616014.80000000005</v>
          </cell>
          <cell r="M46">
            <v>622176.80000000005</v>
          </cell>
          <cell r="N46">
            <v>649630.4</v>
          </cell>
          <cell r="O46">
            <v>644986.6</v>
          </cell>
          <cell r="P46">
            <v>639172.80000000005</v>
          </cell>
          <cell r="Q46">
            <v>636191.6</v>
          </cell>
          <cell r="R46">
            <v>637048.19999999995</v>
          </cell>
          <cell r="S46">
            <v>641636.80000000005</v>
          </cell>
          <cell r="T46">
            <v>649691.80000000005</v>
          </cell>
          <cell r="U46">
            <v>659486.19999999995</v>
          </cell>
          <cell r="V46">
            <v>669132.6</v>
          </cell>
          <cell r="W46">
            <v>677957.2</v>
          </cell>
          <cell r="X46">
            <v>685640.6</v>
          </cell>
          <cell r="Y46">
            <v>691243.2</v>
          </cell>
          <cell r="Z46">
            <v>694564.2</v>
          </cell>
          <cell r="AA46">
            <v>696170.4</v>
          </cell>
          <cell r="AB46">
            <v>696565.8</v>
          </cell>
          <cell r="AC46">
            <v>696222.2</v>
          </cell>
          <cell r="AD46">
            <v>695918.2</v>
          </cell>
          <cell r="AE46">
            <v>696151.8</v>
          </cell>
          <cell r="AF46">
            <v>696516.4</v>
          </cell>
        </row>
        <row r="47">
          <cell r="A47">
            <v>45</v>
          </cell>
          <cell r="B47">
            <v>442427.4</v>
          </cell>
          <cell r="C47">
            <v>445446.8</v>
          </cell>
          <cell r="D47">
            <v>448316.6</v>
          </cell>
          <cell r="E47">
            <v>451803</v>
          </cell>
          <cell r="F47">
            <v>456828.4</v>
          </cell>
          <cell r="G47">
            <v>464075.6</v>
          </cell>
          <cell r="H47">
            <v>473842.6</v>
          </cell>
          <cell r="I47">
            <v>485997.8</v>
          </cell>
          <cell r="J47">
            <v>500172.4</v>
          </cell>
          <cell r="K47">
            <v>515892.2</v>
          </cell>
          <cell r="L47">
            <v>532710.40000000002</v>
          </cell>
          <cell r="M47">
            <v>550389.4</v>
          </cell>
          <cell r="N47">
            <v>579108.19999999995</v>
          </cell>
          <cell r="O47">
            <v>600343.19999999995</v>
          </cell>
          <cell r="P47">
            <v>619275.19999999995</v>
          </cell>
          <cell r="Q47">
            <v>632925</v>
          </cell>
          <cell r="R47">
            <v>640346.6</v>
          </cell>
          <cell r="S47">
            <v>641408.80000000005</v>
          </cell>
          <cell r="T47">
            <v>637300.6</v>
          </cell>
          <cell r="U47">
            <v>631939.6</v>
          </cell>
          <cell r="V47">
            <v>629243</v>
          </cell>
          <cell r="W47">
            <v>630268.80000000005</v>
          </cell>
          <cell r="X47">
            <v>634938</v>
          </cell>
          <cell r="Y47">
            <v>643011.4</v>
          </cell>
          <cell r="Z47">
            <v>652798.19999999995</v>
          </cell>
          <cell r="AA47">
            <v>662439</v>
          </cell>
          <cell r="AB47">
            <v>671271.8</v>
          </cell>
          <cell r="AC47">
            <v>678975.2</v>
          </cell>
          <cell r="AD47">
            <v>684620.2</v>
          </cell>
          <cell r="AE47">
            <v>688003.2</v>
          </cell>
          <cell r="AF47">
            <v>689687.8</v>
          </cell>
        </row>
        <row r="48">
          <cell r="A48">
            <v>46</v>
          </cell>
          <cell r="B48">
            <v>442427.4</v>
          </cell>
          <cell r="C48">
            <v>445446.8</v>
          </cell>
          <cell r="D48">
            <v>448316.6</v>
          </cell>
          <cell r="E48">
            <v>451803</v>
          </cell>
          <cell r="F48">
            <v>456828.4</v>
          </cell>
          <cell r="G48">
            <v>464075.6</v>
          </cell>
          <cell r="H48">
            <v>473842.6</v>
          </cell>
          <cell r="I48">
            <v>485997.8</v>
          </cell>
          <cell r="J48">
            <v>500172.4</v>
          </cell>
          <cell r="K48">
            <v>515892.2</v>
          </cell>
          <cell r="L48">
            <v>532710.40000000002</v>
          </cell>
          <cell r="M48">
            <v>550389.4</v>
          </cell>
          <cell r="N48">
            <v>579108.19999999995</v>
          </cell>
          <cell r="O48">
            <v>600343.19999999995</v>
          </cell>
          <cell r="P48">
            <v>619275.19999999995</v>
          </cell>
          <cell r="Q48">
            <v>632925</v>
          </cell>
          <cell r="R48">
            <v>640346.6</v>
          </cell>
          <cell r="S48">
            <v>641408.80000000005</v>
          </cell>
          <cell r="T48">
            <v>637300.6</v>
          </cell>
          <cell r="U48">
            <v>631939.6</v>
          </cell>
          <cell r="V48">
            <v>629243</v>
          </cell>
          <cell r="W48">
            <v>630268.80000000005</v>
          </cell>
          <cell r="X48">
            <v>634938</v>
          </cell>
          <cell r="Y48">
            <v>643011.4</v>
          </cell>
          <cell r="Z48">
            <v>652798.19999999995</v>
          </cell>
          <cell r="AA48">
            <v>662439</v>
          </cell>
          <cell r="AB48">
            <v>671271.8</v>
          </cell>
          <cell r="AC48">
            <v>678975.2</v>
          </cell>
          <cell r="AD48">
            <v>684620.2</v>
          </cell>
          <cell r="AE48">
            <v>688003.2</v>
          </cell>
          <cell r="AF48">
            <v>689687.8</v>
          </cell>
        </row>
        <row r="49">
          <cell r="A49">
            <v>47</v>
          </cell>
          <cell r="B49">
            <v>442427.4</v>
          </cell>
          <cell r="C49">
            <v>445446.8</v>
          </cell>
          <cell r="D49">
            <v>448316.6</v>
          </cell>
          <cell r="E49">
            <v>451803</v>
          </cell>
          <cell r="F49">
            <v>456828.4</v>
          </cell>
          <cell r="G49">
            <v>464075.6</v>
          </cell>
          <cell r="H49">
            <v>473842.6</v>
          </cell>
          <cell r="I49">
            <v>485997.8</v>
          </cell>
          <cell r="J49">
            <v>500172.4</v>
          </cell>
          <cell r="K49">
            <v>515892.2</v>
          </cell>
          <cell r="L49">
            <v>532710.40000000002</v>
          </cell>
          <cell r="M49">
            <v>550389.4</v>
          </cell>
          <cell r="N49">
            <v>579108.19999999995</v>
          </cell>
          <cell r="O49">
            <v>600343.19999999995</v>
          </cell>
          <cell r="P49">
            <v>619275.19999999995</v>
          </cell>
          <cell r="Q49">
            <v>632925</v>
          </cell>
          <cell r="R49">
            <v>640346.6</v>
          </cell>
          <cell r="S49">
            <v>641408.80000000005</v>
          </cell>
          <cell r="T49">
            <v>637300.6</v>
          </cell>
          <cell r="U49">
            <v>631939.6</v>
          </cell>
          <cell r="V49">
            <v>629243</v>
          </cell>
          <cell r="W49">
            <v>630268.80000000005</v>
          </cell>
          <cell r="X49">
            <v>634938</v>
          </cell>
          <cell r="Y49">
            <v>643011.4</v>
          </cell>
          <cell r="Z49">
            <v>652798.19999999995</v>
          </cell>
          <cell r="AA49">
            <v>662439</v>
          </cell>
          <cell r="AB49">
            <v>671271.8</v>
          </cell>
          <cell r="AC49">
            <v>678975.2</v>
          </cell>
          <cell r="AD49">
            <v>684620.2</v>
          </cell>
          <cell r="AE49">
            <v>688003.2</v>
          </cell>
          <cell r="AF49">
            <v>689687.8</v>
          </cell>
        </row>
        <row r="50">
          <cell r="A50">
            <v>48</v>
          </cell>
          <cell r="B50">
            <v>442427.4</v>
          </cell>
          <cell r="C50">
            <v>445446.8</v>
          </cell>
          <cell r="D50">
            <v>448316.6</v>
          </cell>
          <cell r="E50">
            <v>451803</v>
          </cell>
          <cell r="F50">
            <v>456828.4</v>
          </cell>
          <cell r="G50">
            <v>464075.6</v>
          </cell>
          <cell r="H50">
            <v>473842.6</v>
          </cell>
          <cell r="I50">
            <v>485997.8</v>
          </cell>
          <cell r="J50">
            <v>500172.4</v>
          </cell>
          <cell r="K50">
            <v>515892.2</v>
          </cell>
          <cell r="L50">
            <v>532710.40000000002</v>
          </cell>
          <cell r="M50">
            <v>550389.4</v>
          </cell>
          <cell r="N50">
            <v>579108.19999999995</v>
          </cell>
          <cell r="O50">
            <v>600343.19999999995</v>
          </cell>
          <cell r="P50">
            <v>619275.19999999995</v>
          </cell>
          <cell r="Q50">
            <v>632925</v>
          </cell>
          <cell r="R50">
            <v>640346.6</v>
          </cell>
          <cell r="S50">
            <v>641408.80000000005</v>
          </cell>
          <cell r="T50">
            <v>637300.6</v>
          </cell>
          <cell r="U50">
            <v>631939.6</v>
          </cell>
          <cell r="V50">
            <v>629243</v>
          </cell>
          <cell r="W50">
            <v>630268.80000000005</v>
          </cell>
          <cell r="X50">
            <v>634938</v>
          </cell>
          <cell r="Y50">
            <v>643011.4</v>
          </cell>
          <cell r="Z50">
            <v>652798.19999999995</v>
          </cell>
          <cell r="AA50">
            <v>662439</v>
          </cell>
          <cell r="AB50">
            <v>671271.8</v>
          </cell>
          <cell r="AC50">
            <v>678975.2</v>
          </cell>
          <cell r="AD50">
            <v>684620.2</v>
          </cell>
          <cell r="AE50">
            <v>688003.2</v>
          </cell>
          <cell r="AF50">
            <v>689687.8</v>
          </cell>
        </row>
        <row r="51">
          <cell r="A51">
            <v>49</v>
          </cell>
          <cell r="B51">
            <v>442427.4</v>
          </cell>
          <cell r="C51">
            <v>445446.8</v>
          </cell>
          <cell r="D51">
            <v>448316.6</v>
          </cell>
          <cell r="E51">
            <v>451803</v>
          </cell>
          <cell r="F51">
            <v>456828.4</v>
          </cell>
          <cell r="G51">
            <v>464075.6</v>
          </cell>
          <cell r="H51">
            <v>473842.6</v>
          </cell>
          <cell r="I51">
            <v>485997.8</v>
          </cell>
          <cell r="J51">
            <v>500172.4</v>
          </cell>
          <cell r="K51">
            <v>515892.2</v>
          </cell>
          <cell r="L51">
            <v>532710.40000000002</v>
          </cell>
          <cell r="M51">
            <v>550389.4</v>
          </cell>
          <cell r="N51">
            <v>579108.19999999995</v>
          </cell>
          <cell r="O51">
            <v>600343.19999999995</v>
          </cell>
          <cell r="P51">
            <v>619275.19999999995</v>
          </cell>
          <cell r="Q51">
            <v>632925</v>
          </cell>
          <cell r="R51">
            <v>640346.6</v>
          </cell>
          <cell r="S51">
            <v>641408.80000000005</v>
          </cell>
          <cell r="T51">
            <v>637300.6</v>
          </cell>
          <cell r="U51">
            <v>631939.6</v>
          </cell>
          <cell r="V51">
            <v>629243</v>
          </cell>
          <cell r="W51">
            <v>630268.80000000005</v>
          </cell>
          <cell r="X51">
            <v>634938</v>
          </cell>
          <cell r="Y51">
            <v>643011.4</v>
          </cell>
          <cell r="Z51">
            <v>652798.19999999995</v>
          </cell>
          <cell r="AA51">
            <v>662439</v>
          </cell>
          <cell r="AB51">
            <v>671271.8</v>
          </cell>
          <cell r="AC51">
            <v>678975.2</v>
          </cell>
          <cell r="AD51">
            <v>684620.2</v>
          </cell>
          <cell r="AE51">
            <v>688003.2</v>
          </cell>
          <cell r="AF51">
            <v>689687.8</v>
          </cell>
        </row>
        <row r="52">
          <cell r="A52">
            <v>50</v>
          </cell>
          <cell r="B52">
            <v>412484.4</v>
          </cell>
          <cell r="C52">
            <v>416971.2</v>
          </cell>
          <cell r="D52">
            <v>421500.6</v>
          </cell>
          <cell r="E52">
            <v>425914.4</v>
          </cell>
          <cell r="F52">
            <v>430000</v>
          </cell>
          <cell r="G52">
            <v>433621</v>
          </cell>
          <cell r="H52">
            <v>436748.2</v>
          </cell>
          <cell r="I52">
            <v>439723.8</v>
          </cell>
          <cell r="J52">
            <v>443307</v>
          </cell>
          <cell r="K52">
            <v>448391.8</v>
          </cell>
          <cell r="L52">
            <v>455663.6</v>
          </cell>
          <cell r="M52">
            <v>465407.4</v>
          </cell>
          <cell r="N52">
            <v>482259.6</v>
          </cell>
          <cell r="O52">
            <v>496131</v>
          </cell>
          <cell r="P52">
            <v>511993</v>
          </cell>
          <cell r="Q52">
            <v>529475.6</v>
          </cell>
          <cell r="R52">
            <v>548371</v>
          </cell>
          <cell r="S52">
            <v>568944.4</v>
          </cell>
          <cell r="T52">
            <v>590236</v>
          </cell>
          <cell r="U52">
            <v>609164.80000000005</v>
          </cell>
          <cell r="V52">
            <v>622806</v>
          </cell>
          <cell r="W52">
            <v>630267.6</v>
          </cell>
          <cell r="X52">
            <v>631444.6</v>
          </cell>
          <cell r="Y52">
            <v>627525.4</v>
          </cell>
          <cell r="Z52">
            <v>622374.19999999995</v>
          </cell>
          <cell r="AA52">
            <v>619852.80000000005</v>
          </cell>
          <cell r="AB52">
            <v>620999.19999999995</v>
          </cell>
          <cell r="AC52">
            <v>625735.4</v>
          </cell>
          <cell r="AD52">
            <v>633822.19999999995</v>
          </cell>
          <cell r="AE52">
            <v>643595.6</v>
          </cell>
          <cell r="AF52">
            <v>653228</v>
          </cell>
        </row>
        <row r="53">
          <cell r="A53">
            <v>51</v>
          </cell>
          <cell r="B53">
            <v>412484.4</v>
          </cell>
          <cell r="C53">
            <v>416971.2</v>
          </cell>
          <cell r="D53">
            <v>421500.6</v>
          </cell>
          <cell r="E53">
            <v>425914.4</v>
          </cell>
          <cell r="F53">
            <v>430000</v>
          </cell>
          <cell r="G53">
            <v>433621</v>
          </cell>
          <cell r="H53">
            <v>436748.2</v>
          </cell>
          <cell r="I53">
            <v>439723.8</v>
          </cell>
          <cell r="J53">
            <v>443307</v>
          </cell>
          <cell r="K53">
            <v>448391.8</v>
          </cell>
          <cell r="L53">
            <v>455663.6</v>
          </cell>
          <cell r="M53">
            <v>465407.4</v>
          </cell>
          <cell r="N53">
            <v>482259.6</v>
          </cell>
          <cell r="O53">
            <v>496131</v>
          </cell>
          <cell r="P53">
            <v>511993</v>
          </cell>
          <cell r="Q53">
            <v>529475.6</v>
          </cell>
          <cell r="R53">
            <v>548371</v>
          </cell>
          <cell r="S53">
            <v>568944.4</v>
          </cell>
          <cell r="T53">
            <v>590236</v>
          </cell>
          <cell r="U53">
            <v>609164.80000000005</v>
          </cell>
          <cell r="V53">
            <v>622806</v>
          </cell>
          <cell r="W53">
            <v>630267.6</v>
          </cell>
          <cell r="X53">
            <v>631444.6</v>
          </cell>
          <cell r="Y53">
            <v>627525.4</v>
          </cell>
          <cell r="Z53">
            <v>622374.19999999995</v>
          </cell>
          <cell r="AA53">
            <v>619852.80000000005</v>
          </cell>
          <cell r="AB53">
            <v>620999.19999999995</v>
          </cell>
          <cell r="AC53">
            <v>625735.4</v>
          </cell>
          <cell r="AD53">
            <v>633822.19999999995</v>
          </cell>
          <cell r="AE53">
            <v>643595.6</v>
          </cell>
          <cell r="AF53">
            <v>653228</v>
          </cell>
        </row>
        <row r="54">
          <cell r="A54">
            <v>52</v>
          </cell>
          <cell r="B54">
            <v>412484.4</v>
          </cell>
          <cell r="C54">
            <v>416971.2</v>
          </cell>
          <cell r="D54">
            <v>421500.6</v>
          </cell>
          <cell r="E54">
            <v>425914.4</v>
          </cell>
          <cell r="F54">
            <v>430000</v>
          </cell>
          <cell r="G54">
            <v>433621</v>
          </cell>
          <cell r="H54">
            <v>436748.2</v>
          </cell>
          <cell r="I54">
            <v>439723.8</v>
          </cell>
          <cell r="J54">
            <v>443307</v>
          </cell>
          <cell r="K54">
            <v>448391.8</v>
          </cell>
          <cell r="L54">
            <v>455663.6</v>
          </cell>
          <cell r="M54">
            <v>465407.4</v>
          </cell>
          <cell r="N54">
            <v>482259.6</v>
          </cell>
          <cell r="O54">
            <v>496131</v>
          </cell>
          <cell r="P54">
            <v>511993</v>
          </cell>
          <cell r="Q54">
            <v>529475.6</v>
          </cell>
          <cell r="R54">
            <v>548371</v>
          </cell>
          <cell r="S54">
            <v>568944.4</v>
          </cell>
          <cell r="T54">
            <v>590236</v>
          </cell>
          <cell r="U54">
            <v>609164.80000000005</v>
          </cell>
          <cell r="V54">
            <v>622806</v>
          </cell>
          <cell r="W54">
            <v>630267.6</v>
          </cell>
          <cell r="X54">
            <v>631444.6</v>
          </cell>
          <cell r="Y54">
            <v>627525.4</v>
          </cell>
          <cell r="Z54">
            <v>622374.19999999995</v>
          </cell>
          <cell r="AA54">
            <v>619852.80000000005</v>
          </cell>
          <cell r="AB54">
            <v>620999.19999999995</v>
          </cell>
          <cell r="AC54">
            <v>625735.4</v>
          </cell>
          <cell r="AD54">
            <v>633822.19999999995</v>
          </cell>
          <cell r="AE54">
            <v>643595.6</v>
          </cell>
          <cell r="AF54">
            <v>653228</v>
          </cell>
        </row>
        <row r="55">
          <cell r="A55">
            <v>53</v>
          </cell>
          <cell r="B55">
            <v>412484.4</v>
          </cell>
          <cell r="C55">
            <v>416971.2</v>
          </cell>
          <cell r="D55">
            <v>421500.6</v>
          </cell>
          <cell r="E55">
            <v>425914.4</v>
          </cell>
          <cell r="F55">
            <v>430000</v>
          </cell>
          <cell r="G55">
            <v>433621</v>
          </cell>
          <cell r="H55">
            <v>436748.2</v>
          </cell>
          <cell r="I55">
            <v>439723.8</v>
          </cell>
          <cell r="J55">
            <v>443307</v>
          </cell>
          <cell r="K55">
            <v>448391.8</v>
          </cell>
          <cell r="L55">
            <v>455663.6</v>
          </cell>
          <cell r="M55">
            <v>465407.4</v>
          </cell>
          <cell r="N55">
            <v>482259.6</v>
          </cell>
          <cell r="O55">
            <v>496131</v>
          </cell>
          <cell r="P55">
            <v>511993</v>
          </cell>
          <cell r="Q55">
            <v>529475.6</v>
          </cell>
          <cell r="R55">
            <v>548371</v>
          </cell>
          <cell r="S55">
            <v>568944.4</v>
          </cell>
          <cell r="T55">
            <v>590236</v>
          </cell>
          <cell r="U55">
            <v>609164.80000000005</v>
          </cell>
          <cell r="V55">
            <v>622806</v>
          </cell>
          <cell r="W55">
            <v>630267.6</v>
          </cell>
          <cell r="X55">
            <v>631444.6</v>
          </cell>
          <cell r="Y55">
            <v>627525.4</v>
          </cell>
          <cell r="Z55">
            <v>622374.19999999995</v>
          </cell>
          <cell r="AA55">
            <v>619852.80000000005</v>
          </cell>
          <cell r="AB55">
            <v>620999.19999999995</v>
          </cell>
          <cell r="AC55">
            <v>625735.4</v>
          </cell>
          <cell r="AD55">
            <v>633822.19999999995</v>
          </cell>
          <cell r="AE55">
            <v>643595.6</v>
          </cell>
          <cell r="AF55">
            <v>653228</v>
          </cell>
        </row>
        <row r="56">
          <cell r="A56">
            <v>54</v>
          </cell>
          <cell r="B56">
            <v>412484.4</v>
          </cell>
          <cell r="C56">
            <v>416971.2</v>
          </cell>
          <cell r="D56">
            <v>421500.6</v>
          </cell>
          <cell r="E56">
            <v>425914.4</v>
          </cell>
          <cell r="F56">
            <v>430000</v>
          </cell>
          <cell r="G56">
            <v>433621</v>
          </cell>
          <cell r="H56">
            <v>436748.2</v>
          </cell>
          <cell r="I56">
            <v>439723.8</v>
          </cell>
          <cell r="J56">
            <v>443307</v>
          </cell>
          <cell r="K56">
            <v>448391.8</v>
          </cell>
          <cell r="L56">
            <v>455663.6</v>
          </cell>
          <cell r="M56">
            <v>465407.4</v>
          </cell>
          <cell r="N56">
            <v>482259.6</v>
          </cell>
          <cell r="O56">
            <v>496131</v>
          </cell>
          <cell r="P56">
            <v>511993</v>
          </cell>
          <cell r="Q56">
            <v>529475.6</v>
          </cell>
          <cell r="R56">
            <v>548371</v>
          </cell>
          <cell r="S56">
            <v>568944.4</v>
          </cell>
          <cell r="T56">
            <v>590236</v>
          </cell>
          <cell r="U56">
            <v>609164.80000000005</v>
          </cell>
          <cell r="V56">
            <v>622806</v>
          </cell>
          <cell r="W56">
            <v>630267.6</v>
          </cell>
          <cell r="X56">
            <v>631444.6</v>
          </cell>
          <cell r="Y56">
            <v>627525.4</v>
          </cell>
          <cell r="Z56">
            <v>622374.19999999995</v>
          </cell>
          <cell r="AA56">
            <v>619852.80000000005</v>
          </cell>
          <cell r="AB56">
            <v>620999.19999999995</v>
          </cell>
          <cell r="AC56">
            <v>625735.4</v>
          </cell>
          <cell r="AD56">
            <v>633822.19999999995</v>
          </cell>
          <cell r="AE56">
            <v>643595.6</v>
          </cell>
          <cell r="AF56">
            <v>653228</v>
          </cell>
        </row>
        <row r="57">
          <cell r="A57">
            <v>55</v>
          </cell>
          <cell r="B57">
            <v>375414.2</v>
          </cell>
          <cell r="C57">
            <v>380437.4</v>
          </cell>
          <cell r="D57">
            <v>385246</v>
          </cell>
          <cell r="E57">
            <v>389899.4</v>
          </cell>
          <cell r="F57">
            <v>394454.8</v>
          </cell>
          <cell r="G57">
            <v>399001.59999999998</v>
          </cell>
          <cell r="H57">
            <v>403601.4</v>
          </cell>
          <cell r="I57">
            <v>408247.2</v>
          </cell>
          <cell r="J57">
            <v>412769</v>
          </cell>
          <cell r="K57">
            <v>416972.79999999999</v>
          </cell>
          <cell r="L57">
            <v>420715.8</v>
          </cell>
          <cell r="M57">
            <v>423976.8</v>
          </cell>
          <cell r="N57">
            <v>430456.6</v>
          </cell>
          <cell r="O57">
            <v>434333.8</v>
          </cell>
          <cell r="P57">
            <v>439615.6</v>
          </cell>
          <cell r="Q57">
            <v>447150.4</v>
          </cell>
          <cell r="R57">
            <v>457119.6</v>
          </cell>
          <cell r="S57">
            <v>469224.8</v>
          </cell>
          <cell r="T57">
            <v>483243.4</v>
          </cell>
          <cell r="U57">
            <v>499016.2</v>
          </cell>
          <cell r="V57">
            <v>516293.2</v>
          </cell>
          <cell r="W57">
            <v>534924</v>
          </cell>
          <cell r="X57">
            <v>555176.6</v>
          </cell>
          <cell r="Y57">
            <v>576120.4</v>
          </cell>
          <cell r="Z57">
            <v>594752</v>
          </cell>
          <cell r="AA57">
            <v>608215.4</v>
          </cell>
          <cell r="AB57">
            <v>615648.80000000005</v>
          </cell>
          <cell r="AC57">
            <v>616958</v>
          </cell>
          <cell r="AD57">
            <v>613309.19999999995</v>
          </cell>
          <cell r="AE57">
            <v>608475</v>
          </cell>
          <cell r="AF57">
            <v>606220</v>
          </cell>
        </row>
        <row r="58">
          <cell r="A58">
            <v>56</v>
          </cell>
          <cell r="B58">
            <v>375414.2</v>
          </cell>
          <cell r="C58">
            <v>380437.4</v>
          </cell>
          <cell r="D58">
            <v>385246</v>
          </cell>
          <cell r="E58">
            <v>389899.4</v>
          </cell>
          <cell r="F58">
            <v>394454.8</v>
          </cell>
          <cell r="G58">
            <v>399001.59999999998</v>
          </cell>
          <cell r="H58">
            <v>403601.4</v>
          </cell>
          <cell r="I58">
            <v>408247.2</v>
          </cell>
          <cell r="J58">
            <v>412769</v>
          </cell>
          <cell r="K58">
            <v>416972.79999999999</v>
          </cell>
          <cell r="L58">
            <v>420715.8</v>
          </cell>
          <cell r="M58">
            <v>423976.8</v>
          </cell>
          <cell r="N58">
            <v>430456.6</v>
          </cell>
          <cell r="O58">
            <v>434333.8</v>
          </cell>
          <cell r="P58">
            <v>439615.6</v>
          </cell>
          <cell r="Q58">
            <v>447150.4</v>
          </cell>
          <cell r="R58">
            <v>457119.6</v>
          </cell>
          <cell r="S58">
            <v>469224.8</v>
          </cell>
          <cell r="T58">
            <v>483243.4</v>
          </cell>
          <cell r="U58">
            <v>499016.2</v>
          </cell>
          <cell r="V58">
            <v>516293.2</v>
          </cell>
          <cell r="W58">
            <v>534924</v>
          </cell>
          <cell r="X58">
            <v>555176.6</v>
          </cell>
          <cell r="Y58">
            <v>576120.4</v>
          </cell>
          <cell r="Z58">
            <v>594752</v>
          </cell>
          <cell r="AA58">
            <v>608215.4</v>
          </cell>
          <cell r="AB58">
            <v>615648.80000000005</v>
          </cell>
          <cell r="AC58">
            <v>616958</v>
          </cell>
          <cell r="AD58">
            <v>613309.19999999995</v>
          </cell>
          <cell r="AE58">
            <v>608475</v>
          </cell>
          <cell r="AF58">
            <v>606220</v>
          </cell>
        </row>
        <row r="59">
          <cell r="A59">
            <v>57</v>
          </cell>
          <cell r="B59">
            <v>375414.2</v>
          </cell>
          <cell r="C59">
            <v>380437.4</v>
          </cell>
          <cell r="D59">
            <v>385246</v>
          </cell>
          <cell r="E59">
            <v>389899.4</v>
          </cell>
          <cell r="F59">
            <v>394454.8</v>
          </cell>
          <cell r="G59">
            <v>399001.59999999998</v>
          </cell>
          <cell r="H59">
            <v>403601.4</v>
          </cell>
          <cell r="I59">
            <v>408247.2</v>
          </cell>
          <cell r="J59">
            <v>412769</v>
          </cell>
          <cell r="K59">
            <v>416972.79999999999</v>
          </cell>
          <cell r="L59">
            <v>420715.8</v>
          </cell>
          <cell r="M59">
            <v>423976.8</v>
          </cell>
          <cell r="N59">
            <v>430456.6</v>
          </cell>
          <cell r="O59">
            <v>434333.8</v>
          </cell>
          <cell r="P59">
            <v>439615.6</v>
          </cell>
          <cell r="Q59">
            <v>447150.4</v>
          </cell>
          <cell r="R59">
            <v>457119.6</v>
          </cell>
          <cell r="S59">
            <v>469224.8</v>
          </cell>
          <cell r="T59">
            <v>483243.4</v>
          </cell>
          <cell r="U59">
            <v>499016.2</v>
          </cell>
          <cell r="V59">
            <v>516293.2</v>
          </cell>
          <cell r="W59">
            <v>534924</v>
          </cell>
          <cell r="X59">
            <v>555176.6</v>
          </cell>
          <cell r="Y59">
            <v>576120.4</v>
          </cell>
          <cell r="Z59">
            <v>594752</v>
          </cell>
          <cell r="AA59">
            <v>608215.4</v>
          </cell>
          <cell r="AB59">
            <v>615648.80000000005</v>
          </cell>
          <cell r="AC59">
            <v>616958</v>
          </cell>
          <cell r="AD59">
            <v>613309.19999999995</v>
          </cell>
          <cell r="AE59">
            <v>608475</v>
          </cell>
          <cell r="AF59">
            <v>606220</v>
          </cell>
        </row>
        <row r="60">
          <cell r="A60">
            <v>58</v>
          </cell>
          <cell r="B60">
            <v>375414.2</v>
          </cell>
          <cell r="C60">
            <v>380437.4</v>
          </cell>
          <cell r="D60">
            <v>385246</v>
          </cell>
          <cell r="E60">
            <v>389899.4</v>
          </cell>
          <cell r="F60">
            <v>394454.8</v>
          </cell>
          <cell r="G60">
            <v>399001.59999999998</v>
          </cell>
          <cell r="H60">
            <v>403601.4</v>
          </cell>
          <cell r="I60">
            <v>408247.2</v>
          </cell>
          <cell r="J60">
            <v>412769</v>
          </cell>
          <cell r="K60">
            <v>416972.79999999999</v>
          </cell>
          <cell r="L60">
            <v>420715.8</v>
          </cell>
          <cell r="M60">
            <v>423976.8</v>
          </cell>
          <cell r="N60">
            <v>430456.6</v>
          </cell>
          <cell r="O60">
            <v>434333.8</v>
          </cell>
          <cell r="P60">
            <v>439615.6</v>
          </cell>
          <cell r="Q60">
            <v>447150.4</v>
          </cell>
          <cell r="R60">
            <v>457119.6</v>
          </cell>
          <cell r="S60">
            <v>469224.8</v>
          </cell>
          <cell r="T60">
            <v>483243.4</v>
          </cell>
          <cell r="U60">
            <v>499016.2</v>
          </cell>
          <cell r="V60">
            <v>516293.2</v>
          </cell>
          <cell r="W60">
            <v>534924</v>
          </cell>
          <cell r="X60">
            <v>555176.6</v>
          </cell>
          <cell r="Y60">
            <v>576120.4</v>
          </cell>
          <cell r="Z60">
            <v>594752</v>
          </cell>
          <cell r="AA60">
            <v>608215.4</v>
          </cell>
          <cell r="AB60">
            <v>615648.80000000005</v>
          </cell>
          <cell r="AC60">
            <v>616958</v>
          </cell>
          <cell r="AD60">
            <v>613309.19999999995</v>
          </cell>
          <cell r="AE60">
            <v>608475</v>
          </cell>
          <cell r="AF60">
            <v>606220</v>
          </cell>
        </row>
        <row r="61">
          <cell r="A61">
            <v>59</v>
          </cell>
          <cell r="B61">
            <v>375414.2</v>
          </cell>
          <cell r="C61">
            <v>380437.4</v>
          </cell>
          <cell r="D61">
            <v>385246</v>
          </cell>
          <cell r="E61">
            <v>389899.4</v>
          </cell>
          <cell r="F61">
            <v>394454.8</v>
          </cell>
          <cell r="G61">
            <v>399001.59999999998</v>
          </cell>
          <cell r="H61">
            <v>403601.4</v>
          </cell>
          <cell r="I61">
            <v>408247.2</v>
          </cell>
          <cell r="J61">
            <v>412769</v>
          </cell>
          <cell r="K61">
            <v>416972.79999999999</v>
          </cell>
          <cell r="L61">
            <v>420715.8</v>
          </cell>
          <cell r="M61">
            <v>423976.8</v>
          </cell>
          <cell r="N61">
            <v>430456.6</v>
          </cell>
          <cell r="O61">
            <v>434333.8</v>
          </cell>
          <cell r="P61">
            <v>439615.6</v>
          </cell>
          <cell r="Q61">
            <v>447150.4</v>
          </cell>
          <cell r="R61">
            <v>457119.6</v>
          </cell>
          <cell r="S61">
            <v>469224.8</v>
          </cell>
          <cell r="T61">
            <v>483243.4</v>
          </cell>
          <cell r="U61">
            <v>499016.2</v>
          </cell>
          <cell r="V61">
            <v>516293.2</v>
          </cell>
          <cell r="W61">
            <v>534924</v>
          </cell>
          <cell r="X61">
            <v>555176.6</v>
          </cell>
          <cell r="Y61">
            <v>576120.4</v>
          </cell>
          <cell r="Z61">
            <v>594752</v>
          </cell>
          <cell r="AA61">
            <v>608215.4</v>
          </cell>
          <cell r="AB61">
            <v>615648.80000000005</v>
          </cell>
          <cell r="AC61">
            <v>616958</v>
          </cell>
          <cell r="AD61">
            <v>613309.19999999995</v>
          </cell>
          <cell r="AE61">
            <v>608475</v>
          </cell>
          <cell r="AF61">
            <v>606220</v>
          </cell>
        </row>
        <row r="62">
          <cell r="A62">
            <v>60</v>
          </cell>
          <cell r="B62">
            <v>325713.8</v>
          </cell>
          <cell r="C62">
            <v>332964.59999999998</v>
          </cell>
          <cell r="D62">
            <v>339528.8</v>
          </cell>
          <cell r="E62">
            <v>345520.8</v>
          </cell>
          <cell r="F62">
            <v>351124.6</v>
          </cell>
          <cell r="G62">
            <v>356453.2</v>
          </cell>
          <cell r="H62">
            <v>361565.6</v>
          </cell>
          <cell r="I62">
            <v>366465.6</v>
          </cell>
          <cell r="J62">
            <v>371221.6</v>
          </cell>
          <cell r="K62">
            <v>375881.8</v>
          </cell>
          <cell r="L62">
            <v>380532</v>
          </cell>
          <cell r="M62">
            <v>385224.4</v>
          </cell>
          <cell r="N62">
            <v>388523.8</v>
          </cell>
          <cell r="O62">
            <v>393110</v>
          </cell>
          <cell r="P62">
            <v>398105.59999999998</v>
          </cell>
          <cell r="Q62">
            <v>402953</v>
          </cell>
          <cell r="R62">
            <v>407480.6</v>
          </cell>
          <cell r="S62">
            <v>411726</v>
          </cell>
          <cell r="T62">
            <v>416072.8</v>
          </cell>
          <cell r="U62">
            <v>421534</v>
          </cell>
          <cell r="V62">
            <v>429080.6</v>
          </cell>
          <cell r="W62">
            <v>438939.2</v>
          </cell>
          <cell r="X62">
            <v>450830.2</v>
          </cell>
          <cell r="Y62">
            <v>464549.8</v>
          </cell>
          <cell r="Z62">
            <v>479960.2</v>
          </cell>
          <cell r="AA62">
            <v>496835.8</v>
          </cell>
          <cell r="AB62">
            <v>515033.59999999998</v>
          </cell>
          <cell r="AC62">
            <v>534809.59999999998</v>
          </cell>
          <cell r="AD62">
            <v>555259.19999999995</v>
          </cell>
          <cell r="AE62">
            <v>573478.80000000005</v>
          </cell>
          <cell r="AF62">
            <v>586709.19999999995</v>
          </cell>
        </row>
        <row r="63">
          <cell r="A63">
            <v>61</v>
          </cell>
          <cell r="B63">
            <v>325713.8</v>
          </cell>
          <cell r="C63">
            <v>332964.59999999998</v>
          </cell>
          <cell r="D63">
            <v>339528.8</v>
          </cell>
          <cell r="E63">
            <v>345520.8</v>
          </cell>
          <cell r="F63">
            <v>351124.6</v>
          </cell>
          <cell r="G63">
            <v>356453.2</v>
          </cell>
          <cell r="H63">
            <v>361565.6</v>
          </cell>
          <cell r="I63">
            <v>366465.6</v>
          </cell>
          <cell r="J63">
            <v>371221.6</v>
          </cell>
          <cell r="K63">
            <v>375881.8</v>
          </cell>
          <cell r="L63">
            <v>380532</v>
          </cell>
          <cell r="M63">
            <v>385224.4</v>
          </cell>
          <cell r="N63">
            <v>388523.8</v>
          </cell>
          <cell r="O63">
            <v>393110</v>
          </cell>
          <cell r="P63">
            <v>398105.59999999998</v>
          </cell>
          <cell r="Q63">
            <v>402953</v>
          </cell>
          <cell r="R63">
            <v>407480.6</v>
          </cell>
          <cell r="S63">
            <v>411726</v>
          </cell>
          <cell r="T63">
            <v>416072.8</v>
          </cell>
          <cell r="U63">
            <v>421534</v>
          </cell>
          <cell r="V63">
            <v>429080.6</v>
          </cell>
          <cell r="W63">
            <v>438939.2</v>
          </cell>
          <cell r="X63">
            <v>450830.2</v>
          </cell>
          <cell r="Y63">
            <v>464549.8</v>
          </cell>
          <cell r="Z63">
            <v>479960.2</v>
          </cell>
          <cell r="AA63">
            <v>496835.8</v>
          </cell>
          <cell r="AB63">
            <v>515033.59999999998</v>
          </cell>
          <cell r="AC63">
            <v>534809.59999999998</v>
          </cell>
          <cell r="AD63">
            <v>555259.19999999995</v>
          </cell>
          <cell r="AE63">
            <v>573478.80000000005</v>
          </cell>
          <cell r="AF63">
            <v>586709.19999999995</v>
          </cell>
        </row>
        <row r="64">
          <cell r="A64">
            <v>62</v>
          </cell>
          <cell r="B64">
            <v>325713.8</v>
          </cell>
          <cell r="C64">
            <v>332964.59999999998</v>
          </cell>
          <cell r="D64">
            <v>339528.8</v>
          </cell>
          <cell r="E64">
            <v>345520.8</v>
          </cell>
          <cell r="F64">
            <v>351124.6</v>
          </cell>
          <cell r="G64">
            <v>356453.2</v>
          </cell>
          <cell r="H64">
            <v>361565.6</v>
          </cell>
          <cell r="I64">
            <v>366465.6</v>
          </cell>
          <cell r="J64">
            <v>371221.6</v>
          </cell>
          <cell r="K64">
            <v>375881.8</v>
          </cell>
          <cell r="L64">
            <v>380532</v>
          </cell>
          <cell r="M64">
            <v>385224.4</v>
          </cell>
          <cell r="N64">
            <v>388523.8</v>
          </cell>
          <cell r="O64">
            <v>393110</v>
          </cell>
          <cell r="P64">
            <v>398105.59999999998</v>
          </cell>
          <cell r="Q64">
            <v>402953</v>
          </cell>
          <cell r="R64">
            <v>407480.6</v>
          </cell>
          <cell r="S64">
            <v>411726</v>
          </cell>
          <cell r="T64">
            <v>416072.8</v>
          </cell>
          <cell r="U64">
            <v>421534</v>
          </cell>
          <cell r="V64">
            <v>429080.6</v>
          </cell>
          <cell r="W64">
            <v>438939.2</v>
          </cell>
          <cell r="X64">
            <v>450830.2</v>
          </cell>
          <cell r="Y64">
            <v>464549.8</v>
          </cell>
          <cell r="Z64">
            <v>479960.2</v>
          </cell>
          <cell r="AA64">
            <v>496835.8</v>
          </cell>
          <cell r="AB64">
            <v>515033.59999999998</v>
          </cell>
          <cell r="AC64">
            <v>534809.59999999998</v>
          </cell>
          <cell r="AD64">
            <v>555259.19999999995</v>
          </cell>
          <cell r="AE64">
            <v>573478.80000000005</v>
          </cell>
          <cell r="AF64">
            <v>586709.19999999995</v>
          </cell>
        </row>
        <row r="65">
          <cell r="A65">
            <v>63</v>
          </cell>
          <cell r="B65">
            <v>325713.8</v>
          </cell>
          <cell r="C65">
            <v>332964.59999999998</v>
          </cell>
          <cell r="D65">
            <v>339528.8</v>
          </cell>
          <cell r="E65">
            <v>345520.8</v>
          </cell>
          <cell r="F65">
            <v>351124.6</v>
          </cell>
          <cell r="G65">
            <v>356453.2</v>
          </cell>
          <cell r="H65">
            <v>361565.6</v>
          </cell>
          <cell r="I65">
            <v>366465.6</v>
          </cell>
          <cell r="J65">
            <v>371221.6</v>
          </cell>
          <cell r="K65">
            <v>375881.8</v>
          </cell>
          <cell r="L65">
            <v>380532</v>
          </cell>
          <cell r="M65">
            <v>385224.4</v>
          </cell>
          <cell r="N65">
            <v>388523.8</v>
          </cell>
          <cell r="O65">
            <v>393110</v>
          </cell>
          <cell r="P65">
            <v>398105.59999999998</v>
          </cell>
          <cell r="Q65">
            <v>402953</v>
          </cell>
          <cell r="R65">
            <v>407480.6</v>
          </cell>
          <cell r="S65">
            <v>411726</v>
          </cell>
          <cell r="T65">
            <v>416072.8</v>
          </cell>
          <cell r="U65">
            <v>421534</v>
          </cell>
          <cell r="V65">
            <v>429080.6</v>
          </cell>
          <cell r="W65">
            <v>438939.2</v>
          </cell>
          <cell r="X65">
            <v>450830.2</v>
          </cell>
          <cell r="Y65">
            <v>464549.8</v>
          </cell>
          <cell r="Z65">
            <v>479960.2</v>
          </cell>
          <cell r="AA65">
            <v>496835.8</v>
          </cell>
          <cell r="AB65">
            <v>515033.59999999998</v>
          </cell>
          <cell r="AC65">
            <v>534809.59999999998</v>
          </cell>
          <cell r="AD65">
            <v>555259.19999999995</v>
          </cell>
          <cell r="AE65">
            <v>573478.80000000005</v>
          </cell>
          <cell r="AF65">
            <v>586709.19999999995</v>
          </cell>
        </row>
        <row r="66">
          <cell r="A66">
            <v>64</v>
          </cell>
          <cell r="B66">
            <v>325713.8</v>
          </cell>
          <cell r="C66">
            <v>332964.59999999998</v>
          </cell>
          <cell r="D66">
            <v>339528.8</v>
          </cell>
          <cell r="E66">
            <v>345520.8</v>
          </cell>
          <cell r="F66">
            <v>351124.6</v>
          </cell>
          <cell r="G66">
            <v>356453.2</v>
          </cell>
          <cell r="H66">
            <v>361565.6</v>
          </cell>
          <cell r="I66">
            <v>366465.6</v>
          </cell>
          <cell r="J66">
            <v>371221.6</v>
          </cell>
          <cell r="K66">
            <v>375881.8</v>
          </cell>
          <cell r="L66">
            <v>380532</v>
          </cell>
          <cell r="M66">
            <v>385224.4</v>
          </cell>
          <cell r="N66">
            <v>388523.8</v>
          </cell>
          <cell r="O66">
            <v>393110</v>
          </cell>
          <cell r="P66">
            <v>398105.59999999998</v>
          </cell>
          <cell r="Q66">
            <v>402953</v>
          </cell>
          <cell r="R66">
            <v>407480.6</v>
          </cell>
          <cell r="S66">
            <v>411726</v>
          </cell>
          <cell r="T66">
            <v>416072.8</v>
          </cell>
          <cell r="U66">
            <v>421534</v>
          </cell>
          <cell r="V66">
            <v>429080.6</v>
          </cell>
          <cell r="W66">
            <v>438939.2</v>
          </cell>
          <cell r="X66">
            <v>450830.2</v>
          </cell>
          <cell r="Y66">
            <v>464549.8</v>
          </cell>
          <cell r="Z66">
            <v>479960.2</v>
          </cell>
          <cell r="AA66">
            <v>496835.8</v>
          </cell>
          <cell r="AB66">
            <v>515033.59999999998</v>
          </cell>
          <cell r="AC66">
            <v>534809.59999999998</v>
          </cell>
          <cell r="AD66">
            <v>555259.19999999995</v>
          </cell>
          <cell r="AE66">
            <v>573478.80000000005</v>
          </cell>
          <cell r="AF66">
            <v>586709.19999999995</v>
          </cell>
        </row>
        <row r="67">
          <cell r="A67">
            <v>65</v>
          </cell>
          <cell r="B67">
            <v>260913.2</v>
          </cell>
          <cell r="C67">
            <v>268523.40000000002</v>
          </cell>
          <cell r="D67">
            <v>276708.40000000002</v>
          </cell>
          <cell r="E67">
            <v>285119.59999999998</v>
          </cell>
          <cell r="F67">
            <v>293350.59999999998</v>
          </cell>
          <cell r="G67">
            <v>301100.79999999999</v>
          </cell>
          <cell r="H67">
            <v>308208</v>
          </cell>
          <cell r="I67">
            <v>314689.8</v>
          </cell>
          <cell r="J67">
            <v>320640.59999999998</v>
          </cell>
          <cell r="K67">
            <v>326234</v>
          </cell>
          <cell r="L67">
            <v>331575.59999999998</v>
          </cell>
          <cell r="M67">
            <v>336716.6</v>
          </cell>
          <cell r="N67">
            <v>339861.2</v>
          </cell>
          <cell r="O67">
            <v>343263.2</v>
          </cell>
          <cell r="P67">
            <v>347245.8</v>
          </cell>
          <cell r="Q67">
            <v>351601.2</v>
          </cell>
          <cell r="R67">
            <v>356264.6</v>
          </cell>
          <cell r="S67">
            <v>361262.6</v>
          </cell>
          <cell r="T67">
            <v>366537.8</v>
          </cell>
          <cell r="U67">
            <v>371781.4</v>
          </cell>
          <cell r="V67">
            <v>376713</v>
          </cell>
          <cell r="W67">
            <v>381318</v>
          </cell>
          <cell r="X67">
            <v>385646.2</v>
          </cell>
          <cell r="Y67">
            <v>390072</v>
          </cell>
          <cell r="Z67">
            <v>395557.2</v>
          </cell>
          <cell r="AA67">
            <v>403016.8</v>
          </cell>
          <cell r="AB67">
            <v>412661.4</v>
          </cell>
          <cell r="AC67">
            <v>424221</v>
          </cell>
          <cell r="AD67">
            <v>437504.2</v>
          </cell>
          <cell r="AE67">
            <v>452394.8</v>
          </cell>
          <cell r="AF67">
            <v>468694</v>
          </cell>
        </row>
        <row r="68">
          <cell r="A68">
            <v>66</v>
          </cell>
          <cell r="B68">
            <v>260913.2</v>
          </cell>
          <cell r="C68">
            <v>268523.40000000002</v>
          </cell>
          <cell r="D68">
            <v>276708.40000000002</v>
          </cell>
          <cell r="E68">
            <v>285119.59999999998</v>
          </cell>
          <cell r="F68">
            <v>293350.59999999998</v>
          </cell>
          <cell r="G68">
            <v>301100.79999999999</v>
          </cell>
          <cell r="H68">
            <v>308208</v>
          </cell>
          <cell r="I68">
            <v>314689.8</v>
          </cell>
          <cell r="J68">
            <v>320640.59999999998</v>
          </cell>
          <cell r="K68">
            <v>326234</v>
          </cell>
          <cell r="L68">
            <v>331575.59999999998</v>
          </cell>
          <cell r="M68">
            <v>336716.6</v>
          </cell>
          <cell r="N68">
            <v>339861.2</v>
          </cell>
          <cell r="O68">
            <v>343263.2</v>
          </cell>
          <cell r="P68">
            <v>347245.8</v>
          </cell>
          <cell r="Q68">
            <v>351601.2</v>
          </cell>
          <cell r="R68">
            <v>356264.6</v>
          </cell>
          <cell r="S68">
            <v>361262.6</v>
          </cell>
          <cell r="T68">
            <v>366537.8</v>
          </cell>
          <cell r="U68">
            <v>371781.4</v>
          </cell>
          <cell r="V68">
            <v>376713</v>
          </cell>
          <cell r="W68">
            <v>381318</v>
          </cell>
          <cell r="X68">
            <v>385646.2</v>
          </cell>
          <cell r="Y68">
            <v>390072</v>
          </cell>
          <cell r="Z68">
            <v>395557.2</v>
          </cell>
          <cell r="AA68">
            <v>403016.8</v>
          </cell>
          <cell r="AB68">
            <v>412661.4</v>
          </cell>
          <cell r="AC68">
            <v>424221</v>
          </cell>
          <cell r="AD68">
            <v>437504.2</v>
          </cell>
          <cell r="AE68">
            <v>452394.8</v>
          </cell>
          <cell r="AF68">
            <v>468694</v>
          </cell>
        </row>
        <row r="69">
          <cell r="A69">
            <v>67</v>
          </cell>
          <cell r="B69">
            <v>260913.2</v>
          </cell>
          <cell r="C69">
            <v>268523.40000000002</v>
          </cell>
          <cell r="D69">
            <v>276708.40000000002</v>
          </cell>
          <cell r="E69">
            <v>285119.59999999998</v>
          </cell>
          <cell r="F69">
            <v>293350.59999999998</v>
          </cell>
          <cell r="G69">
            <v>301100.79999999999</v>
          </cell>
          <cell r="H69">
            <v>308208</v>
          </cell>
          <cell r="I69">
            <v>314689.8</v>
          </cell>
          <cell r="J69">
            <v>320640.59999999998</v>
          </cell>
          <cell r="K69">
            <v>326234</v>
          </cell>
          <cell r="L69">
            <v>331575.59999999998</v>
          </cell>
          <cell r="M69">
            <v>336716.6</v>
          </cell>
          <cell r="N69">
            <v>339861.2</v>
          </cell>
          <cell r="O69">
            <v>343263.2</v>
          </cell>
          <cell r="P69">
            <v>347245.8</v>
          </cell>
          <cell r="Q69">
            <v>351601.2</v>
          </cell>
          <cell r="R69">
            <v>356264.6</v>
          </cell>
          <cell r="S69">
            <v>361262.6</v>
          </cell>
          <cell r="T69">
            <v>366537.8</v>
          </cell>
          <cell r="U69">
            <v>371781.4</v>
          </cell>
          <cell r="V69">
            <v>376713</v>
          </cell>
          <cell r="W69">
            <v>381318</v>
          </cell>
          <cell r="X69">
            <v>385646.2</v>
          </cell>
          <cell r="Y69">
            <v>390072</v>
          </cell>
          <cell r="Z69">
            <v>395557.2</v>
          </cell>
          <cell r="AA69">
            <v>403016.8</v>
          </cell>
          <cell r="AB69">
            <v>412661.4</v>
          </cell>
          <cell r="AC69">
            <v>424221</v>
          </cell>
          <cell r="AD69">
            <v>437504.2</v>
          </cell>
          <cell r="AE69">
            <v>452394.8</v>
          </cell>
          <cell r="AF69">
            <v>468694</v>
          </cell>
        </row>
        <row r="70">
          <cell r="A70">
            <v>68</v>
          </cell>
          <cell r="B70">
            <v>260913.2</v>
          </cell>
          <cell r="C70">
            <v>268523.40000000002</v>
          </cell>
          <cell r="D70">
            <v>276708.40000000002</v>
          </cell>
          <cell r="E70">
            <v>285119.59999999998</v>
          </cell>
          <cell r="F70">
            <v>293350.59999999998</v>
          </cell>
          <cell r="G70">
            <v>301100.79999999999</v>
          </cell>
          <cell r="H70">
            <v>308208</v>
          </cell>
          <cell r="I70">
            <v>314689.8</v>
          </cell>
          <cell r="J70">
            <v>320640.59999999998</v>
          </cell>
          <cell r="K70">
            <v>326234</v>
          </cell>
          <cell r="L70">
            <v>331575.59999999998</v>
          </cell>
          <cell r="M70">
            <v>336716.6</v>
          </cell>
          <cell r="N70">
            <v>339861.2</v>
          </cell>
          <cell r="O70">
            <v>343263.2</v>
          </cell>
          <cell r="P70">
            <v>347245.8</v>
          </cell>
          <cell r="Q70">
            <v>351601.2</v>
          </cell>
          <cell r="R70">
            <v>356264.6</v>
          </cell>
          <cell r="S70">
            <v>361262.6</v>
          </cell>
          <cell r="T70">
            <v>366537.8</v>
          </cell>
          <cell r="U70">
            <v>371781.4</v>
          </cell>
          <cell r="V70">
            <v>376713</v>
          </cell>
          <cell r="W70">
            <v>381318</v>
          </cell>
          <cell r="X70">
            <v>385646.2</v>
          </cell>
          <cell r="Y70">
            <v>390072</v>
          </cell>
          <cell r="Z70">
            <v>395557.2</v>
          </cell>
          <cell r="AA70">
            <v>403016.8</v>
          </cell>
          <cell r="AB70">
            <v>412661.4</v>
          </cell>
          <cell r="AC70">
            <v>424221</v>
          </cell>
          <cell r="AD70">
            <v>437504.2</v>
          </cell>
          <cell r="AE70">
            <v>452394.8</v>
          </cell>
          <cell r="AF70">
            <v>468694</v>
          </cell>
        </row>
        <row r="71">
          <cell r="A71">
            <v>69</v>
          </cell>
          <cell r="B71">
            <v>260913.2</v>
          </cell>
          <cell r="C71">
            <v>268523.40000000002</v>
          </cell>
          <cell r="D71">
            <v>276708.40000000002</v>
          </cell>
          <cell r="E71">
            <v>285119.59999999998</v>
          </cell>
          <cell r="F71">
            <v>293350.59999999998</v>
          </cell>
          <cell r="G71">
            <v>301100.79999999999</v>
          </cell>
          <cell r="H71">
            <v>308208</v>
          </cell>
          <cell r="I71">
            <v>314689.8</v>
          </cell>
          <cell r="J71">
            <v>320640.59999999998</v>
          </cell>
          <cell r="K71">
            <v>326234</v>
          </cell>
          <cell r="L71">
            <v>331575.59999999998</v>
          </cell>
          <cell r="M71">
            <v>336716.6</v>
          </cell>
          <cell r="N71">
            <v>339861.2</v>
          </cell>
          <cell r="O71">
            <v>343263.2</v>
          </cell>
          <cell r="P71">
            <v>347245.8</v>
          </cell>
          <cell r="Q71">
            <v>351601.2</v>
          </cell>
          <cell r="R71">
            <v>356264.6</v>
          </cell>
          <cell r="S71">
            <v>361262.6</v>
          </cell>
          <cell r="T71">
            <v>366537.8</v>
          </cell>
          <cell r="U71">
            <v>371781.4</v>
          </cell>
          <cell r="V71">
            <v>376713</v>
          </cell>
          <cell r="W71">
            <v>381318</v>
          </cell>
          <cell r="X71">
            <v>385646.2</v>
          </cell>
          <cell r="Y71">
            <v>390072</v>
          </cell>
          <cell r="Z71">
            <v>395557.2</v>
          </cell>
          <cell r="AA71">
            <v>403016.8</v>
          </cell>
          <cell r="AB71">
            <v>412661.4</v>
          </cell>
          <cell r="AC71">
            <v>424221</v>
          </cell>
          <cell r="AD71">
            <v>437504.2</v>
          </cell>
          <cell r="AE71">
            <v>452394.8</v>
          </cell>
          <cell r="AF71">
            <v>468694</v>
          </cell>
        </row>
        <row r="72">
          <cell r="A72">
            <v>70</v>
          </cell>
          <cell r="B72">
            <v>205806</v>
          </cell>
          <cell r="C72">
            <v>209523.6</v>
          </cell>
          <cell r="D72">
            <v>213987.20000000001</v>
          </cell>
          <cell r="E72">
            <v>219174</v>
          </cell>
          <cell r="F72">
            <v>225063.8</v>
          </cell>
          <cell r="G72">
            <v>231626.2</v>
          </cell>
          <cell r="H72">
            <v>238842.6</v>
          </cell>
          <cell r="I72">
            <v>246575.6</v>
          </cell>
          <cell r="J72">
            <v>254515.4</v>
          </cell>
          <cell r="K72">
            <v>262299</v>
          </cell>
          <cell r="L72">
            <v>269655.8</v>
          </cell>
          <cell r="M72">
            <v>276444</v>
          </cell>
          <cell r="N72">
            <v>284884.40000000002</v>
          </cell>
          <cell r="O72">
            <v>287641.59999999998</v>
          </cell>
          <cell r="P72">
            <v>290732.79999999999</v>
          </cell>
          <cell r="Q72">
            <v>294476.79999999999</v>
          </cell>
          <cell r="R72">
            <v>298633</v>
          </cell>
          <cell r="S72">
            <v>302815.2</v>
          </cell>
          <cell r="T72">
            <v>307062.8</v>
          </cell>
          <cell r="U72">
            <v>311321.40000000002</v>
          </cell>
          <cell r="V72">
            <v>315731</v>
          </cell>
          <cell r="W72">
            <v>320395.59999999998</v>
          </cell>
          <cell r="X72">
            <v>325352.8</v>
          </cell>
          <cell r="Y72">
            <v>330558.40000000002</v>
          </cell>
          <cell r="Z72">
            <v>335734.8</v>
          </cell>
          <cell r="AA72">
            <v>340633.4</v>
          </cell>
          <cell r="AB72">
            <v>345242.6</v>
          </cell>
          <cell r="AC72">
            <v>349611.2</v>
          </cell>
          <cell r="AD72">
            <v>354083</v>
          </cell>
          <cell r="AE72">
            <v>359539.4</v>
          </cell>
          <cell r="AF72">
            <v>366814.8</v>
          </cell>
        </row>
        <row r="73">
          <cell r="A73">
            <v>71</v>
          </cell>
          <cell r="B73">
            <v>205806</v>
          </cell>
          <cell r="C73">
            <v>209523.6</v>
          </cell>
          <cell r="D73">
            <v>213987.20000000001</v>
          </cell>
          <cell r="E73">
            <v>219174</v>
          </cell>
          <cell r="F73">
            <v>225063.8</v>
          </cell>
          <cell r="G73">
            <v>231626.2</v>
          </cell>
          <cell r="H73">
            <v>238842.6</v>
          </cell>
          <cell r="I73">
            <v>246575.6</v>
          </cell>
          <cell r="J73">
            <v>254515.4</v>
          </cell>
          <cell r="K73">
            <v>262299</v>
          </cell>
          <cell r="L73">
            <v>269655.8</v>
          </cell>
          <cell r="M73">
            <v>276444</v>
          </cell>
          <cell r="N73">
            <v>284884.40000000002</v>
          </cell>
          <cell r="O73">
            <v>287641.59999999998</v>
          </cell>
          <cell r="P73">
            <v>290732.79999999999</v>
          </cell>
          <cell r="Q73">
            <v>294476.79999999999</v>
          </cell>
          <cell r="R73">
            <v>298633</v>
          </cell>
          <cell r="S73">
            <v>302815.2</v>
          </cell>
          <cell r="T73">
            <v>307062.8</v>
          </cell>
          <cell r="U73">
            <v>311321.40000000002</v>
          </cell>
          <cell r="V73">
            <v>315731</v>
          </cell>
          <cell r="W73">
            <v>320395.59999999998</v>
          </cell>
          <cell r="X73">
            <v>325352.8</v>
          </cell>
          <cell r="Y73">
            <v>330558.40000000002</v>
          </cell>
          <cell r="Z73">
            <v>335734.8</v>
          </cell>
          <cell r="AA73">
            <v>340633.4</v>
          </cell>
          <cell r="AB73">
            <v>345242.6</v>
          </cell>
          <cell r="AC73">
            <v>349611.2</v>
          </cell>
          <cell r="AD73">
            <v>354083</v>
          </cell>
          <cell r="AE73">
            <v>359539.4</v>
          </cell>
          <cell r="AF73">
            <v>366814.8</v>
          </cell>
        </row>
        <row r="74">
          <cell r="A74">
            <v>72</v>
          </cell>
          <cell r="B74">
            <v>205806</v>
          </cell>
          <cell r="C74">
            <v>209523.6</v>
          </cell>
          <cell r="D74">
            <v>213987.20000000001</v>
          </cell>
          <cell r="E74">
            <v>219174</v>
          </cell>
          <cell r="F74">
            <v>225063.8</v>
          </cell>
          <cell r="G74">
            <v>231626.2</v>
          </cell>
          <cell r="H74">
            <v>238842.6</v>
          </cell>
          <cell r="I74">
            <v>246575.6</v>
          </cell>
          <cell r="J74">
            <v>254515.4</v>
          </cell>
          <cell r="K74">
            <v>262299</v>
          </cell>
          <cell r="L74">
            <v>269655.8</v>
          </cell>
          <cell r="M74">
            <v>276444</v>
          </cell>
          <cell r="N74">
            <v>284884.40000000002</v>
          </cell>
          <cell r="O74">
            <v>287641.59999999998</v>
          </cell>
          <cell r="P74">
            <v>290732.79999999999</v>
          </cell>
          <cell r="Q74">
            <v>294476.79999999999</v>
          </cell>
          <cell r="R74">
            <v>298633</v>
          </cell>
          <cell r="S74">
            <v>302815.2</v>
          </cell>
          <cell r="T74">
            <v>307062.8</v>
          </cell>
          <cell r="U74">
            <v>311321.40000000002</v>
          </cell>
          <cell r="V74">
            <v>315731</v>
          </cell>
          <cell r="W74">
            <v>320395.59999999998</v>
          </cell>
          <cell r="X74">
            <v>325352.8</v>
          </cell>
          <cell r="Y74">
            <v>330558.40000000002</v>
          </cell>
          <cell r="Z74">
            <v>335734.8</v>
          </cell>
          <cell r="AA74">
            <v>340633.4</v>
          </cell>
          <cell r="AB74">
            <v>345242.6</v>
          </cell>
          <cell r="AC74">
            <v>349611.2</v>
          </cell>
          <cell r="AD74">
            <v>354083</v>
          </cell>
          <cell r="AE74">
            <v>359539.4</v>
          </cell>
          <cell r="AF74">
            <v>366814.8</v>
          </cell>
        </row>
        <row r="75">
          <cell r="A75">
            <v>73</v>
          </cell>
          <cell r="B75">
            <v>205806</v>
          </cell>
          <cell r="C75">
            <v>209523.6</v>
          </cell>
          <cell r="D75">
            <v>213987.20000000001</v>
          </cell>
          <cell r="E75">
            <v>219174</v>
          </cell>
          <cell r="F75">
            <v>225063.8</v>
          </cell>
          <cell r="G75">
            <v>231626.2</v>
          </cell>
          <cell r="H75">
            <v>238842.6</v>
          </cell>
          <cell r="I75">
            <v>246575.6</v>
          </cell>
          <cell r="J75">
            <v>254515.4</v>
          </cell>
          <cell r="K75">
            <v>262299</v>
          </cell>
          <cell r="L75">
            <v>269655.8</v>
          </cell>
          <cell r="M75">
            <v>276444</v>
          </cell>
          <cell r="N75">
            <v>284884.40000000002</v>
          </cell>
          <cell r="O75">
            <v>287641.59999999998</v>
          </cell>
          <cell r="P75">
            <v>290732.79999999999</v>
          </cell>
          <cell r="Q75">
            <v>294476.79999999999</v>
          </cell>
          <cell r="R75">
            <v>298633</v>
          </cell>
          <cell r="S75">
            <v>302815.2</v>
          </cell>
          <cell r="T75">
            <v>307062.8</v>
          </cell>
          <cell r="U75">
            <v>311321.40000000002</v>
          </cell>
          <cell r="V75">
            <v>315731</v>
          </cell>
          <cell r="W75">
            <v>320395.59999999998</v>
          </cell>
          <cell r="X75">
            <v>325352.8</v>
          </cell>
          <cell r="Y75">
            <v>330558.40000000002</v>
          </cell>
          <cell r="Z75">
            <v>335734.8</v>
          </cell>
          <cell r="AA75">
            <v>340633.4</v>
          </cell>
          <cell r="AB75">
            <v>345242.6</v>
          </cell>
          <cell r="AC75">
            <v>349611.2</v>
          </cell>
          <cell r="AD75">
            <v>354083</v>
          </cell>
          <cell r="AE75">
            <v>359539.4</v>
          </cell>
          <cell r="AF75">
            <v>366814.8</v>
          </cell>
        </row>
        <row r="76">
          <cell r="A76">
            <v>74</v>
          </cell>
          <cell r="B76">
            <v>205806</v>
          </cell>
          <cell r="C76">
            <v>209523.6</v>
          </cell>
          <cell r="D76">
            <v>213987.20000000001</v>
          </cell>
          <cell r="E76">
            <v>219174</v>
          </cell>
          <cell r="F76">
            <v>225063.8</v>
          </cell>
          <cell r="G76">
            <v>231626.2</v>
          </cell>
          <cell r="H76">
            <v>238842.6</v>
          </cell>
          <cell r="I76">
            <v>246575.6</v>
          </cell>
          <cell r="J76">
            <v>254515.4</v>
          </cell>
          <cell r="K76">
            <v>262299</v>
          </cell>
          <cell r="L76">
            <v>269655.8</v>
          </cell>
          <cell r="M76">
            <v>276444</v>
          </cell>
          <cell r="N76">
            <v>284884.40000000002</v>
          </cell>
          <cell r="O76">
            <v>287641.59999999998</v>
          </cell>
          <cell r="P76">
            <v>290732.79999999999</v>
          </cell>
          <cell r="Q76">
            <v>294476.79999999999</v>
          </cell>
          <cell r="R76">
            <v>298633</v>
          </cell>
          <cell r="S76">
            <v>302815.2</v>
          </cell>
          <cell r="T76">
            <v>307062.8</v>
          </cell>
          <cell r="U76">
            <v>311321.40000000002</v>
          </cell>
          <cell r="V76">
            <v>315731</v>
          </cell>
          <cell r="W76">
            <v>320395.59999999998</v>
          </cell>
          <cell r="X76">
            <v>325352.8</v>
          </cell>
          <cell r="Y76">
            <v>330558.40000000002</v>
          </cell>
          <cell r="Z76">
            <v>335734.8</v>
          </cell>
          <cell r="AA76">
            <v>340633.4</v>
          </cell>
          <cell r="AB76">
            <v>345242.6</v>
          </cell>
          <cell r="AC76">
            <v>349611.2</v>
          </cell>
          <cell r="AD76">
            <v>354083</v>
          </cell>
          <cell r="AE76">
            <v>359539.4</v>
          </cell>
          <cell r="AF76">
            <v>366814.8</v>
          </cell>
        </row>
        <row r="77">
          <cell r="A77">
            <v>75</v>
          </cell>
          <cell r="B77">
            <v>161606.20000000001</v>
          </cell>
          <cell r="C77">
            <v>162703.79999999999</v>
          </cell>
          <cell r="D77">
            <v>164049</v>
          </cell>
          <cell r="E77">
            <v>165782</v>
          </cell>
          <cell r="F77">
            <v>168066.4</v>
          </cell>
          <cell r="G77">
            <v>170997</v>
          </cell>
          <cell r="H77">
            <v>174589.2</v>
          </cell>
          <cell r="I77">
            <v>178797.6</v>
          </cell>
          <cell r="J77">
            <v>183612.6</v>
          </cell>
          <cell r="K77">
            <v>189025.8</v>
          </cell>
          <cell r="L77">
            <v>195022.8</v>
          </cell>
          <cell r="M77">
            <v>201582.8</v>
          </cell>
          <cell r="N77">
            <v>209499</v>
          </cell>
          <cell r="O77">
            <v>216109</v>
          </cell>
          <cell r="P77">
            <v>223431</v>
          </cell>
          <cell r="Q77">
            <v>229431.6</v>
          </cell>
          <cell r="R77">
            <v>234146.6</v>
          </cell>
          <cell r="S77">
            <v>238072.6</v>
          </cell>
          <cell r="T77">
            <v>241322</v>
          </cell>
          <cell r="U77">
            <v>244518.39999999999</v>
          </cell>
          <cell r="V77">
            <v>248273</v>
          </cell>
          <cell r="W77">
            <v>252344.8</v>
          </cell>
          <cell r="X77">
            <v>256427.4</v>
          </cell>
          <cell r="Y77">
            <v>260557.6</v>
          </cell>
          <cell r="Z77">
            <v>264700.59999999998</v>
          </cell>
          <cell r="AA77">
            <v>268981</v>
          </cell>
          <cell r="AB77">
            <v>273488.8</v>
          </cell>
          <cell r="AC77">
            <v>278257.59999999998</v>
          </cell>
          <cell r="AD77">
            <v>283247</v>
          </cell>
          <cell r="AE77">
            <v>288215.40000000002</v>
          </cell>
          <cell r="AF77">
            <v>292947.20000000001</v>
          </cell>
        </row>
        <row r="78">
          <cell r="A78">
            <v>76</v>
          </cell>
          <cell r="B78">
            <v>161606.20000000001</v>
          </cell>
          <cell r="C78">
            <v>162703.79999999999</v>
          </cell>
          <cell r="D78">
            <v>164049</v>
          </cell>
          <cell r="E78">
            <v>165782</v>
          </cell>
          <cell r="F78">
            <v>168066.4</v>
          </cell>
          <cell r="G78">
            <v>170997</v>
          </cell>
          <cell r="H78">
            <v>174589.2</v>
          </cell>
          <cell r="I78">
            <v>178797.6</v>
          </cell>
          <cell r="J78">
            <v>183612.6</v>
          </cell>
          <cell r="K78">
            <v>189025.8</v>
          </cell>
          <cell r="L78">
            <v>195022.8</v>
          </cell>
          <cell r="M78">
            <v>201582.8</v>
          </cell>
          <cell r="N78">
            <v>209499</v>
          </cell>
          <cell r="O78">
            <v>216109</v>
          </cell>
          <cell r="P78">
            <v>223431</v>
          </cell>
          <cell r="Q78">
            <v>229431.6</v>
          </cell>
          <cell r="R78">
            <v>234146.6</v>
          </cell>
          <cell r="S78">
            <v>238072.6</v>
          </cell>
          <cell r="T78">
            <v>241322</v>
          </cell>
          <cell r="U78">
            <v>244518.39999999999</v>
          </cell>
          <cell r="V78">
            <v>248273</v>
          </cell>
          <cell r="W78">
            <v>252344.8</v>
          </cell>
          <cell r="X78">
            <v>256427.4</v>
          </cell>
          <cell r="Y78">
            <v>260557.6</v>
          </cell>
          <cell r="Z78">
            <v>264700.59999999998</v>
          </cell>
          <cell r="AA78">
            <v>268981</v>
          </cell>
          <cell r="AB78">
            <v>273488.8</v>
          </cell>
          <cell r="AC78">
            <v>278257.59999999998</v>
          </cell>
          <cell r="AD78">
            <v>283247</v>
          </cell>
          <cell r="AE78">
            <v>288215.40000000002</v>
          </cell>
          <cell r="AF78">
            <v>292947.20000000001</v>
          </cell>
        </row>
        <row r="79">
          <cell r="A79">
            <v>77</v>
          </cell>
          <cell r="B79">
            <v>161606.20000000001</v>
          </cell>
          <cell r="C79">
            <v>162703.79999999999</v>
          </cell>
          <cell r="D79">
            <v>164049</v>
          </cell>
          <cell r="E79">
            <v>165782</v>
          </cell>
          <cell r="F79">
            <v>168066.4</v>
          </cell>
          <cell r="G79">
            <v>170997</v>
          </cell>
          <cell r="H79">
            <v>174589.2</v>
          </cell>
          <cell r="I79">
            <v>178797.6</v>
          </cell>
          <cell r="J79">
            <v>183612.6</v>
          </cell>
          <cell r="K79">
            <v>189025.8</v>
          </cell>
          <cell r="L79">
            <v>195022.8</v>
          </cell>
          <cell r="M79">
            <v>201582.8</v>
          </cell>
          <cell r="N79">
            <v>209499</v>
          </cell>
          <cell r="O79">
            <v>216109</v>
          </cell>
          <cell r="P79">
            <v>223431</v>
          </cell>
          <cell r="Q79">
            <v>229431.6</v>
          </cell>
          <cell r="R79">
            <v>234146.6</v>
          </cell>
          <cell r="S79">
            <v>238072.6</v>
          </cell>
          <cell r="T79">
            <v>241322</v>
          </cell>
          <cell r="U79">
            <v>244518.39999999999</v>
          </cell>
          <cell r="V79">
            <v>248273</v>
          </cell>
          <cell r="W79">
            <v>252344.8</v>
          </cell>
          <cell r="X79">
            <v>256427.4</v>
          </cell>
          <cell r="Y79">
            <v>260557.6</v>
          </cell>
          <cell r="Z79">
            <v>264700.59999999998</v>
          </cell>
          <cell r="AA79">
            <v>268981</v>
          </cell>
          <cell r="AB79">
            <v>273488.8</v>
          </cell>
          <cell r="AC79">
            <v>278257.59999999998</v>
          </cell>
          <cell r="AD79">
            <v>283247</v>
          </cell>
          <cell r="AE79">
            <v>288215.40000000002</v>
          </cell>
          <cell r="AF79">
            <v>292947.20000000001</v>
          </cell>
        </row>
        <row r="80">
          <cell r="A80">
            <v>78</v>
          </cell>
          <cell r="B80">
            <v>161606.20000000001</v>
          </cell>
          <cell r="C80">
            <v>162703.79999999999</v>
          </cell>
          <cell r="D80">
            <v>164049</v>
          </cell>
          <cell r="E80">
            <v>165782</v>
          </cell>
          <cell r="F80">
            <v>168066.4</v>
          </cell>
          <cell r="G80">
            <v>170997</v>
          </cell>
          <cell r="H80">
            <v>174589.2</v>
          </cell>
          <cell r="I80">
            <v>178797.6</v>
          </cell>
          <cell r="J80">
            <v>183612.6</v>
          </cell>
          <cell r="K80">
            <v>189025.8</v>
          </cell>
          <cell r="L80">
            <v>195022.8</v>
          </cell>
          <cell r="M80">
            <v>201582.8</v>
          </cell>
          <cell r="N80">
            <v>209499</v>
          </cell>
          <cell r="O80">
            <v>216109</v>
          </cell>
          <cell r="P80">
            <v>223431</v>
          </cell>
          <cell r="Q80">
            <v>229431.6</v>
          </cell>
          <cell r="R80">
            <v>234146.6</v>
          </cell>
          <cell r="S80">
            <v>238072.6</v>
          </cell>
          <cell r="T80">
            <v>241322</v>
          </cell>
          <cell r="U80">
            <v>244518.39999999999</v>
          </cell>
          <cell r="V80">
            <v>248273</v>
          </cell>
          <cell r="W80">
            <v>252344.8</v>
          </cell>
          <cell r="X80">
            <v>256427.4</v>
          </cell>
          <cell r="Y80">
            <v>260557.6</v>
          </cell>
          <cell r="Z80">
            <v>264700.59999999998</v>
          </cell>
          <cell r="AA80">
            <v>268981</v>
          </cell>
          <cell r="AB80">
            <v>273488.8</v>
          </cell>
          <cell r="AC80">
            <v>278257.59999999998</v>
          </cell>
          <cell r="AD80">
            <v>283247</v>
          </cell>
          <cell r="AE80">
            <v>288215.40000000002</v>
          </cell>
          <cell r="AF80">
            <v>292947.20000000001</v>
          </cell>
        </row>
        <row r="81">
          <cell r="A81">
            <v>79</v>
          </cell>
          <cell r="B81">
            <v>161606.20000000001</v>
          </cell>
          <cell r="C81">
            <v>162703.79999999999</v>
          </cell>
          <cell r="D81">
            <v>164049</v>
          </cell>
          <cell r="E81">
            <v>165782</v>
          </cell>
          <cell r="F81">
            <v>168066.4</v>
          </cell>
          <cell r="G81">
            <v>170997</v>
          </cell>
          <cell r="H81">
            <v>174589.2</v>
          </cell>
          <cell r="I81">
            <v>178797.6</v>
          </cell>
          <cell r="J81">
            <v>183612.6</v>
          </cell>
          <cell r="K81">
            <v>189025.8</v>
          </cell>
          <cell r="L81">
            <v>195022.8</v>
          </cell>
          <cell r="M81">
            <v>201582.8</v>
          </cell>
          <cell r="N81">
            <v>209499</v>
          </cell>
          <cell r="O81">
            <v>216109</v>
          </cell>
          <cell r="P81">
            <v>223431</v>
          </cell>
          <cell r="Q81">
            <v>229431.6</v>
          </cell>
          <cell r="R81">
            <v>234146.6</v>
          </cell>
          <cell r="S81">
            <v>238072.6</v>
          </cell>
          <cell r="T81">
            <v>241322</v>
          </cell>
          <cell r="U81">
            <v>244518.39999999999</v>
          </cell>
          <cell r="V81">
            <v>248273</v>
          </cell>
          <cell r="W81">
            <v>252344.8</v>
          </cell>
          <cell r="X81">
            <v>256427.4</v>
          </cell>
          <cell r="Y81">
            <v>260557.6</v>
          </cell>
          <cell r="Z81">
            <v>264700.59999999998</v>
          </cell>
          <cell r="AA81">
            <v>268981</v>
          </cell>
          <cell r="AB81">
            <v>273488.8</v>
          </cell>
          <cell r="AC81">
            <v>278257.59999999998</v>
          </cell>
          <cell r="AD81">
            <v>283247</v>
          </cell>
          <cell r="AE81">
            <v>288215.40000000002</v>
          </cell>
          <cell r="AF81">
            <v>292947.20000000001</v>
          </cell>
        </row>
        <row r="82">
          <cell r="A82">
            <v>80</v>
          </cell>
          <cell r="B82">
            <v>113487.2</v>
          </cell>
          <cell r="C82">
            <v>114336.4</v>
          </cell>
          <cell r="D82">
            <v>115129.2</v>
          </cell>
          <cell r="E82">
            <v>115996.4</v>
          </cell>
          <cell r="F82">
            <v>117036.8</v>
          </cell>
          <cell r="G82">
            <v>118291</v>
          </cell>
          <cell r="H82">
            <v>119718</v>
          </cell>
          <cell r="I82">
            <v>121326.6</v>
          </cell>
          <cell r="J82">
            <v>123228.6</v>
          </cell>
          <cell r="K82">
            <v>125541.6</v>
          </cell>
          <cell r="L82">
            <v>128338.6</v>
          </cell>
          <cell r="M82">
            <v>131631.20000000001</v>
          </cell>
          <cell r="N82">
            <v>137190</v>
          </cell>
          <cell r="O82">
            <v>139634.6</v>
          </cell>
          <cell r="P82">
            <v>143202.4</v>
          </cell>
          <cell r="Q82">
            <v>147459.6</v>
          </cell>
          <cell r="R82">
            <v>152586.6</v>
          </cell>
          <cell r="S82">
            <v>158151</v>
          </cell>
          <cell r="T82">
            <v>164042.4</v>
          </cell>
          <cell r="U82">
            <v>169980.6</v>
          </cell>
          <cell r="V82">
            <v>174995.4</v>
          </cell>
          <cell r="W82">
            <v>179061.2</v>
          </cell>
          <cell r="X82">
            <v>182579.8</v>
          </cell>
          <cell r="Y82">
            <v>185639.6</v>
          </cell>
          <cell r="Z82">
            <v>188701</v>
          </cell>
          <cell r="AA82">
            <v>192188.4</v>
          </cell>
          <cell r="AB82">
            <v>195909.6</v>
          </cell>
          <cell r="AC82">
            <v>199641.2</v>
          </cell>
          <cell r="AD82">
            <v>203410.8</v>
          </cell>
          <cell r="AE82">
            <v>207201.6</v>
          </cell>
          <cell r="AF82">
            <v>211114</v>
          </cell>
        </row>
        <row r="83">
          <cell r="A83">
            <v>81</v>
          </cell>
          <cell r="B83">
            <v>113487.2</v>
          </cell>
          <cell r="C83">
            <v>114336.4</v>
          </cell>
          <cell r="D83">
            <v>115129.2</v>
          </cell>
          <cell r="E83">
            <v>115996.4</v>
          </cell>
          <cell r="F83">
            <v>117036.8</v>
          </cell>
          <cell r="G83">
            <v>118291</v>
          </cell>
          <cell r="H83">
            <v>119718</v>
          </cell>
          <cell r="I83">
            <v>121326.6</v>
          </cell>
          <cell r="J83">
            <v>123228.6</v>
          </cell>
          <cell r="K83">
            <v>125541.6</v>
          </cell>
          <cell r="L83">
            <v>128338.6</v>
          </cell>
          <cell r="M83">
            <v>131631.20000000001</v>
          </cell>
          <cell r="N83">
            <v>137190</v>
          </cell>
          <cell r="O83">
            <v>139634.6</v>
          </cell>
          <cell r="P83">
            <v>143202.4</v>
          </cell>
          <cell r="Q83">
            <v>147459.6</v>
          </cell>
          <cell r="R83">
            <v>152586.6</v>
          </cell>
          <cell r="S83">
            <v>158151</v>
          </cell>
          <cell r="T83">
            <v>164042.4</v>
          </cell>
          <cell r="U83">
            <v>169980.6</v>
          </cell>
          <cell r="V83">
            <v>174995.4</v>
          </cell>
          <cell r="W83">
            <v>179061.2</v>
          </cell>
          <cell r="X83">
            <v>182579.8</v>
          </cell>
          <cell r="Y83">
            <v>185639.6</v>
          </cell>
          <cell r="Z83">
            <v>188701</v>
          </cell>
          <cell r="AA83">
            <v>192188.4</v>
          </cell>
          <cell r="AB83">
            <v>195909.6</v>
          </cell>
          <cell r="AC83">
            <v>199641.2</v>
          </cell>
          <cell r="AD83">
            <v>203410.8</v>
          </cell>
          <cell r="AE83">
            <v>207201.6</v>
          </cell>
          <cell r="AF83">
            <v>211114</v>
          </cell>
        </row>
        <row r="84">
          <cell r="A84">
            <v>82</v>
          </cell>
          <cell r="B84">
            <v>113487.2</v>
          </cell>
          <cell r="C84">
            <v>114336.4</v>
          </cell>
          <cell r="D84">
            <v>115129.2</v>
          </cell>
          <cell r="E84">
            <v>115996.4</v>
          </cell>
          <cell r="F84">
            <v>117036.8</v>
          </cell>
          <cell r="G84">
            <v>118291</v>
          </cell>
          <cell r="H84">
            <v>119718</v>
          </cell>
          <cell r="I84">
            <v>121326.6</v>
          </cell>
          <cell r="J84">
            <v>123228.6</v>
          </cell>
          <cell r="K84">
            <v>125541.6</v>
          </cell>
          <cell r="L84">
            <v>128338.6</v>
          </cell>
          <cell r="M84">
            <v>131631.20000000001</v>
          </cell>
          <cell r="N84">
            <v>137190</v>
          </cell>
          <cell r="O84">
            <v>139634.6</v>
          </cell>
          <cell r="P84">
            <v>143202.4</v>
          </cell>
          <cell r="Q84">
            <v>147459.6</v>
          </cell>
          <cell r="R84">
            <v>152586.6</v>
          </cell>
          <cell r="S84">
            <v>158151</v>
          </cell>
          <cell r="T84">
            <v>164042.4</v>
          </cell>
          <cell r="U84">
            <v>169980.6</v>
          </cell>
          <cell r="V84">
            <v>174995.4</v>
          </cell>
          <cell r="W84">
            <v>179061.2</v>
          </cell>
          <cell r="X84">
            <v>182579.8</v>
          </cell>
          <cell r="Y84">
            <v>185639.6</v>
          </cell>
          <cell r="Z84">
            <v>188701</v>
          </cell>
          <cell r="AA84">
            <v>192188.4</v>
          </cell>
          <cell r="AB84">
            <v>195909.6</v>
          </cell>
          <cell r="AC84">
            <v>199641.2</v>
          </cell>
          <cell r="AD84">
            <v>203410.8</v>
          </cell>
          <cell r="AE84">
            <v>207201.6</v>
          </cell>
          <cell r="AF84">
            <v>211114</v>
          </cell>
        </row>
        <row r="85">
          <cell r="A85">
            <v>83</v>
          </cell>
          <cell r="B85">
            <v>113487.2</v>
          </cell>
          <cell r="C85">
            <v>114336.4</v>
          </cell>
          <cell r="D85">
            <v>115129.2</v>
          </cell>
          <cell r="E85">
            <v>115996.4</v>
          </cell>
          <cell r="F85">
            <v>117036.8</v>
          </cell>
          <cell r="G85">
            <v>118291</v>
          </cell>
          <cell r="H85">
            <v>119718</v>
          </cell>
          <cell r="I85">
            <v>121326.6</v>
          </cell>
          <cell r="J85">
            <v>123228.6</v>
          </cell>
          <cell r="K85">
            <v>125541.6</v>
          </cell>
          <cell r="L85">
            <v>128338.6</v>
          </cell>
          <cell r="M85">
            <v>131631.20000000001</v>
          </cell>
          <cell r="N85">
            <v>137190</v>
          </cell>
          <cell r="O85">
            <v>139634.6</v>
          </cell>
          <cell r="P85">
            <v>143202.4</v>
          </cell>
          <cell r="Q85">
            <v>147459.6</v>
          </cell>
          <cell r="R85">
            <v>152586.6</v>
          </cell>
          <cell r="S85">
            <v>158151</v>
          </cell>
          <cell r="T85">
            <v>164042.4</v>
          </cell>
          <cell r="U85">
            <v>169980.6</v>
          </cell>
          <cell r="V85">
            <v>174995.4</v>
          </cell>
          <cell r="W85">
            <v>179061.2</v>
          </cell>
          <cell r="X85">
            <v>182579.8</v>
          </cell>
          <cell r="Y85">
            <v>185639.6</v>
          </cell>
          <cell r="Z85">
            <v>188701</v>
          </cell>
          <cell r="AA85">
            <v>192188.4</v>
          </cell>
          <cell r="AB85">
            <v>195909.6</v>
          </cell>
          <cell r="AC85">
            <v>199641.2</v>
          </cell>
          <cell r="AD85">
            <v>203410.8</v>
          </cell>
          <cell r="AE85">
            <v>207201.6</v>
          </cell>
          <cell r="AF85">
            <v>211114</v>
          </cell>
        </row>
        <row r="86">
          <cell r="A86">
            <v>84</v>
          </cell>
          <cell r="B86">
            <v>113487.2</v>
          </cell>
          <cell r="C86">
            <v>114336.4</v>
          </cell>
          <cell r="D86">
            <v>115129.2</v>
          </cell>
          <cell r="E86">
            <v>115996.4</v>
          </cell>
          <cell r="F86">
            <v>117036.8</v>
          </cell>
          <cell r="G86">
            <v>118291</v>
          </cell>
          <cell r="H86">
            <v>119718</v>
          </cell>
          <cell r="I86">
            <v>121326.6</v>
          </cell>
          <cell r="J86">
            <v>123228.6</v>
          </cell>
          <cell r="K86">
            <v>125541.6</v>
          </cell>
          <cell r="L86">
            <v>128338.6</v>
          </cell>
          <cell r="M86">
            <v>131631.20000000001</v>
          </cell>
          <cell r="N86">
            <v>137190</v>
          </cell>
          <cell r="O86">
            <v>139634.6</v>
          </cell>
          <cell r="P86">
            <v>143202.4</v>
          </cell>
          <cell r="Q86">
            <v>147459.6</v>
          </cell>
          <cell r="R86">
            <v>152586.6</v>
          </cell>
          <cell r="S86">
            <v>158151</v>
          </cell>
          <cell r="T86">
            <v>164042.4</v>
          </cell>
          <cell r="U86">
            <v>169980.6</v>
          </cell>
          <cell r="V86">
            <v>174995.4</v>
          </cell>
          <cell r="W86">
            <v>179061.2</v>
          </cell>
          <cell r="X86">
            <v>182579.8</v>
          </cell>
          <cell r="Y86">
            <v>185639.6</v>
          </cell>
          <cell r="Z86">
            <v>188701</v>
          </cell>
          <cell r="AA86">
            <v>192188.4</v>
          </cell>
          <cell r="AB86">
            <v>195909.6</v>
          </cell>
          <cell r="AC86">
            <v>199641.2</v>
          </cell>
          <cell r="AD86">
            <v>203410.8</v>
          </cell>
          <cell r="AE86">
            <v>207201.6</v>
          </cell>
          <cell r="AF86">
            <v>211114</v>
          </cell>
        </row>
        <row r="87">
          <cell r="A87">
            <v>85</v>
          </cell>
          <cell r="B87">
            <v>60191</v>
          </cell>
          <cell r="C87">
            <v>62073.4</v>
          </cell>
          <cell r="D87">
            <v>63903.6</v>
          </cell>
          <cell r="E87">
            <v>65606</v>
          </cell>
          <cell r="F87">
            <v>67089.8</v>
          </cell>
          <cell r="G87">
            <v>68361.2</v>
          </cell>
          <cell r="H87">
            <v>69483.199999999997</v>
          </cell>
          <cell r="I87">
            <v>70572.2</v>
          </cell>
          <cell r="J87">
            <v>71705.399999999994</v>
          </cell>
          <cell r="K87">
            <v>72945.600000000006</v>
          </cell>
          <cell r="L87">
            <v>74316.600000000006</v>
          </cell>
          <cell r="M87">
            <v>75798</v>
          </cell>
          <cell r="N87">
            <v>83058.8</v>
          </cell>
          <cell r="O87">
            <v>82471.8</v>
          </cell>
          <cell r="P87">
            <v>83329</v>
          </cell>
          <cell r="Q87">
            <v>84624</v>
          </cell>
          <cell r="R87">
            <v>86052.6</v>
          </cell>
          <cell r="S87">
            <v>88005.6</v>
          </cell>
          <cell r="T87">
            <v>90456.2</v>
          </cell>
          <cell r="U87">
            <v>93140.800000000003</v>
          </cell>
          <cell r="V87">
            <v>96295.4</v>
          </cell>
          <cell r="W87">
            <v>100044.2</v>
          </cell>
          <cell r="X87">
            <v>104118.8</v>
          </cell>
          <cell r="Y87">
            <v>108436.4</v>
          </cell>
          <cell r="Z87">
            <v>112769.8</v>
          </cell>
          <cell r="AA87">
            <v>116477.8</v>
          </cell>
          <cell r="AB87">
            <v>119588.4</v>
          </cell>
          <cell r="AC87">
            <v>122392.4</v>
          </cell>
          <cell r="AD87">
            <v>124948</v>
          </cell>
          <cell r="AE87">
            <v>127548.4</v>
          </cell>
          <cell r="AF87">
            <v>130434</v>
          </cell>
        </row>
        <row r="88">
          <cell r="A88">
            <v>86</v>
          </cell>
          <cell r="B88">
            <v>60191</v>
          </cell>
          <cell r="C88">
            <v>62073.4</v>
          </cell>
          <cell r="D88">
            <v>63903.6</v>
          </cell>
          <cell r="E88">
            <v>65606</v>
          </cell>
          <cell r="F88">
            <v>67089.8</v>
          </cell>
          <cell r="G88">
            <v>68361.2</v>
          </cell>
          <cell r="H88">
            <v>69483.199999999997</v>
          </cell>
          <cell r="I88">
            <v>70572.2</v>
          </cell>
          <cell r="J88">
            <v>71705.399999999994</v>
          </cell>
          <cell r="K88">
            <v>72945.600000000006</v>
          </cell>
          <cell r="L88">
            <v>74316.600000000006</v>
          </cell>
          <cell r="M88">
            <v>75798</v>
          </cell>
          <cell r="N88">
            <v>83058.8</v>
          </cell>
          <cell r="O88">
            <v>82471.8</v>
          </cell>
          <cell r="P88">
            <v>83329</v>
          </cell>
          <cell r="Q88">
            <v>84624</v>
          </cell>
          <cell r="R88">
            <v>86052.6</v>
          </cell>
          <cell r="S88">
            <v>88005.6</v>
          </cell>
          <cell r="T88">
            <v>90456.2</v>
          </cell>
          <cell r="U88">
            <v>93140.800000000003</v>
          </cell>
          <cell r="V88">
            <v>96295.4</v>
          </cell>
          <cell r="W88">
            <v>100044.2</v>
          </cell>
          <cell r="X88">
            <v>104118.8</v>
          </cell>
          <cell r="Y88">
            <v>108436.4</v>
          </cell>
          <cell r="Z88">
            <v>112769.8</v>
          </cell>
          <cell r="AA88">
            <v>116477.8</v>
          </cell>
          <cell r="AB88">
            <v>119588.4</v>
          </cell>
          <cell r="AC88">
            <v>122392.4</v>
          </cell>
          <cell r="AD88">
            <v>124948</v>
          </cell>
          <cell r="AE88">
            <v>127548.4</v>
          </cell>
          <cell r="AF88">
            <v>130434</v>
          </cell>
        </row>
        <row r="89">
          <cell r="A89">
            <v>87</v>
          </cell>
          <cell r="B89">
            <v>60191</v>
          </cell>
          <cell r="C89">
            <v>62073.4</v>
          </cell>
          <cell r="D89">
            <v>63903.6</v>
          </cell>
          <cell r="E89">
            <v>65606</v>
          </cell>
          <cell r="F89">
            <v>67089.8</v>
          </cell>
          <cell r="G89">
            <v>68361.2</v>
          </cell>
          <cell r="H89">
            <v>69483.199999999997</v>
          </cell>
          <cell r="I89">
            <v>70572.2</v>
          </cell>
          <cell r="J89">
            <v>71705.399999999994</v>
          </cell>
          <cell r="K89">
            <v>72945.600000000006</v>
          </cell>
          <cell r="L89">
            <v>74316.600000000006</v>
          </cell>
          <cell r="M89">
            <v>75798</v>
          </cell>
          <cell r="N89">
            <v>83058.8</v>
          </cell>
          <cell r="O89">
            <v>82471.8</v>
          </cell>
          <cell r="P89">
            <v>83329</v>
          </cell>
          <cell r="Q89">
            <v>84624</v>
          </cell>
          <cell r="R89">
            <v>86052.6</v>
          </cell>
          <cell r="S89">
            <v>88005.6</v>
          </cell>
          <cell r="T89">
            <v>90456.2</v>
          </cell>
          <cell r="U89">
            <v>93140.800000000003</v>
          </cell>
          <cell r="V89">
            <v>96295.4</v>
          </cell>
          <cell r="W89">
            <v>100044.2</v>
          </cell>
          <cell r="X89">
            <v>104118.8</v>
          </cell>
          <cell r="Y89">
            <v>108436.4</v>
          </cell>
          <cell r="Z89">
            <v>112769.8</v>
          </cell>
          <cell r="AA89">
            <v>116477.8</v>
          </cell>
          <cell r="AB89">
            <v>119588.4</v>
          </cell>
          <cell r="AC89">
            <v>122392.4</v>
          </cell>
          <cell r="AD89">
            <v>124948</v>
          </cell>
          <cell r="AE89">
            <v>127548.4</v>
          </cell>
          <cell r="AF89">
            <v>130434</v>
          </cell>
        </row>
        <row r="90">
          <cell r="A90">
            <v>88</v>
          </cell>
          <cell r="B90">
            <v>60191</v>
          </cell>
          <cell r="C90">
            <v>62073.4</v>
          </cell>
          <cell r="D90">
            <v>63903.6</v>
          </cell>
          <cell r="E90">
            <v>65606</v>
          </cell>
          <cell r="F90">
            <v>67089.8</v>
          </cell>
          <cell r="G90">
            <v>68361.2</v>
          </cell>
          <cell r="H90">
            <v>69483.199999999997</v>
          </cell>
          <cell r="I90">
            <v>70572.2</v>
          </cell>
          <cell r="J90">
            <v>71705.399999999994</v>
          </cell>
          <cell r="K90">
            <v>72945.600000000006</v>
          </cell>
          <cell r="L90">
            <v>74316.600000000006</v>
          </cell>
          <cell r="M90">
            <v>75798</v>
          </cell>
          <cell r="N90">
            <v>83058.8</v>
          </cell>
          <cell r="O90">
            <v>82471.8</v>
          </cell>
          <cell r="P90">
            <v>83329</v>
          </cell>
          <cell r="Q90">
            <v>84624</v>
          </cell>
          <cell r="R90">
            <v>86052.6</v>
          </cell>
          <cell r="S90">
            <v>88005.6</v>
          </cell>
          <cell r="T90">
            <v>90456.2</v>
          </cell>
          <cell r="U90">
            <v>93140.800000000003</v>
          </cell>
          <cell r="V90">
            <v>96295.4</v>
          </cell>
          <cell r="W90">
            <v>100044.2</v>
          </cell>
          <cell r="X90">
            <v>104118.8</v>
          </cell>
          <cell r="Y90">
            <v>108436.4</v>
          </cell>
          <cell r="Z90">
            <v>112769.8</v>
          </cell>
          <cell r="AA90">
            <v>116477.8</v>
          </cell>
          <cell r="AB90">
            <v>119588.4</v>
          </cell>
          <cell r="AC90">
            <v>122392.4</v>
          </cell>
          <cell r="AD90">
            <v>124948</v>
          </cell>
          <cell r="AE90">
            <v>127548.4</v>
          </cell>
          <cell r="AF90">
            <v>130434</v>
          </cell>
        </row>
        <row r="91">
          <cell r="A91">
            <v>89</v>
          </cell>
          <cell r="B91">
            <v>60191</v>
          </cell>
          <cell r="C91">
            <v>62073.4</v>
          </cell>
          <cell r="D91">
            <v>63903.6</v>
          </cell>
          <cell r="E91">
            <v>65606</v>
          </cell>
          <cell r="F91">
            <v>67089.8</v>
          </cell>
          <cell r="G91">
            <v>68361.2</v>
          </cell>
          <cell r="H91">
            <v>69483.199999999997</v>
          </cell>
          <cell r="I91">
            <v>70572.2</v>
          </cell>
          <cell r="J91">
            <v>71705.399999999994</v>
          </cell>
          <cell r="K91">
            <v>72945.600000000006</v>
          </cell>
          <cell r="L91">
            <v>74316.600000000006</v>
          </cell>
          <cell r="M91">
            <v>75798</v>
          </cell>
          <cell r="N91">
            <v>83058.8</v>
          </cell>
          <cell r="O91">
            <v>82471.8</v>
          </cell>
          <cell r="P91">
            <v>83329</v>
          </cell>
          <cell r="Q91">
            <v>84624</v>
          </cell>
          <cell r="R91">
            <v>86052.6</v>
          </cell>
          <cell r="S91">
            <v>88005.6</v>
          </cell>
          <cell r="T91">
            <v>90456.2</v>
          </cell>
          <cell r="U91">
            <v>93140.800000000003</v>
          </cell>
          <cell r="V91">
            <v>96295.4</v>
          </cell>
          <cell r="W91">
            <v>100044.2</v>
          </cell>
          <cell r="X91">
            <v>104118.8</v>
          </cell>
          <cell r="Y91">
            <v>108436.4</v>
          </cell>
          <cell r="Z91">
            <v>112769.8</v>
          </cell>
          <cell r="AA91">
            <v>116477.8</v>
          </cell>
          <cell r="AB91">
            <v>119588.4</v>
          </cell>
          <cell r="AC91">
            <v>122392.4</v>
          </cell>
          <cell r="AD91">
            <v>124948</v>
          </cell>
          <cell r="AE91">
            <v>127548.4</v>
          </cell>
          <cell r="AF91">
            <v>130434</v>
          </cell>
        </row>
        <row r="92">
          <cell r="A92">
            <v>90</v>
          </cell>
          <cell r="B92">
            <v>20996.400000000001</v>
          </cell>
          <cell r="C92">
            <v>22766.799999999999</v>
          </cell>
          <cell r="D92">
            <v>24331.8</v>
          </cell>
          <cell r="E92">
            <v>25735</v>
          </cell>
          <cell r="F92">
            <v>27054.799999999999</v>
          </cell>
          <cell r="G92">
            <v>28349.200000000001</v>
          </cell>
          <cell r="H92">
            <v>29654.6</v>
          </cell>
          <cell r="I92">
            <v>30947.599999999999</v>
          </cell>
          <cell r="J92">
            <v>32182.400000000001</v>
          </cell>
          <cell r="K92">
            <v>33312.199999999997</v>
          </cell>
          <cell r="L92">
            <v>34339.599999999999</v>
          </cell>
          <cell r="M92">
            <v>35295.4</v>
          </cell>
          <cell r="N92">
            <v>40192.199999999997</v>
          </cell>
          <cell r="O92">
            <v>40891.800000000003</v>
          </cell>
          <cell r="P92">
            <v>41221</v>
          </cell>
          <cell r="Q92">
            <v>41124</v>
          </cell>
          <cell r="R92">
            <v>41194.400000000001</v>
          </cell>
          <cell r="S92">
            <v>41418</v>
          </cell>
          <cell r="T92">
            <v>41790.199999999997</v>
          </cell>
          <cell r="U92">
            <v>42491.4</v>
          </cell>
          <cell r="V92">
            <v>43401.599999999999</v>
          </cell>
          <cell r="W92">
            <v>44403.6</v>
          </cell>
          <cell r="X92">
            <v>45701.4</v>
          </cell>
          <cell r="Y92">
            <v>47265.2</v>
          </cell>
          <cell r="Z92">
            <v>48943.4</v>
          </cell>
          <cell r="AA92">
            <v>50880</v>
          </cell>
          <cell r="AB92">
            <v>53155</v>
          </cell>
          <cell r="AC92">
            <v>55632.2</v>
          </cell>
          <cell r="AD92">
            <v>58257.8</v>
          </cell>
          <cell r="AE92">
            <v>60881.2</v>
          </cell>
          <cell r="AF92">
            <v>63154.8</v>
          </cell>
        </row>
        <row r="93">
          <cell r="A93">
            <v>91</v>
          </cell>
          <cell r="B93">
            <v>20996.400000000001</v>
          </cell>
          <cell r="C93">
            <v>22766.799999999999</v>
          </cell>
          <cell r="D93">
            <v>24331.8</v>
          </cell>
          <cell r="E93">
            <v>25735</v>
          </cell>
          <cell r="F93">
            <v>27054.799999999999</v>
          </cell>
          <cell r="G93">
            <v>28349.200000000001</v>
          </cell>
          <cell r="H93">
            <v>29654.6</v>
          </cell>
          <cell r="I93">
            <v>30947.599999999999</v>
          </cell>
          <cell r="J93">
            <v>32182.400000000001</v>
          </cell>
          <cell r="K93">
            <v>33312.199999999997</v>
          </cell>
          <cell r="L93">
            <v>34339.599999999999</v>
          </cell>
          <cell r="M93">
            <v>35295.4</v>
          </cell>
          <cell r="N93">
            <v>40192.199999999997</v>
          </cell>
          <cell r="O93">
            <v>40891.800000000003</v>
          </cell>
          <cell r="P93">
            <v>41221</v>
          </cell>
          <cell r="Q93">
            <v>41124</v>
          </cell>
          <cell r="R93">
            <v>41194.400000000001</v>
          </cell>
          <cell r="S93">
            <v>41418</v>
          </cell>
          <cell r="T93">
            <v>41790.199999999997</v>
          </cell>
          <cell r="U93">
            <v>42491.4</v>
          </cell>
          <cell r="V93">
            <v>43401.599999999999</v>
          </cell>
          <cell r="W93">
            <v>44403.6</v>
          </cell>
          <cell r="X93">
            <v>45701.4</v>
          </cell>
          <cell r="Y93">
            <v>47265.2</v>
          </cell>
          <cell r="Z93">
            <v>48943.4</v>
          </cell>
          <cell r="AA93">
            <v>50880</v>
          </cell>
          <cell r="AB93">
            <v>53155</v>
          </cell>
          <cell r="AC93">
            <v>55632.2</v>
          </cell>
          <cell r="AD93">
            <v>58257.8</v>
          </cell>
          <cell r="AE93">
            <v>60881.2</v>
          </cell>
          <cell r="AF93">
            <v>63154.8</v>
          </cell>
        </row>
        <row r="94">
          <cell r="A94">
            <v>92</v>
          </cell>
          <cell r="B94">
            <v>20996.400000000001</v>
          </cell>
          <cell r="C94">
            <v>22766.799999999999</v>
          </cell>
          <cell r="D94">
            <v>24331.8</v>
          </cell>
          <cell r="E94">
            <v>25735</v>
          </cell>
          <cell r="F94">
            <v>27054.799999999999</v>
          </cell>
          <cell r="G94">
            <v>28349.200000000001</v>
          </cell>
          <cell r="H94">
            <v>29654.6</v>
          </cell>
          <cell r="I94">
            <v>30947.599999999999</v>
          </cell>
          <cell r="J94">
            <v>32182.400000000001</v>
          </cell>
          <cell r="K94">
            <v>33312.199999999997</v>
          </cell>
          <cell r="L94">
            <v>34339.599999999999</v>
          </cell>
          <cell r="M94">
            <v>35295.4</v>
          </cell>
          <cell r="N94">
            <v>40192.199999999997</v>
          </cell>
          <cell r="O94">
            <v>40891.800000000003</v>
          </cell>
          <cell r="P94">
            <v>41221</v>
          </cell>
          <cell r="Q94">
            <v>41124</v>
          </cell>
          <cell r="R94">
            <v>41194.400000000001</v>
          </cell>
          <cell r="S94">
            <v>41418</v>
          </cell>
          <cell r="T94">
            <v>41790.199999999997</v>
          </cell>
          <cell r="U94">
            <v>42491.4</v>
          </cell>
          <cell r="V94">
            <v>43401.599999999999</v>
          </cell>
          <cell r="W94">
            <v>44403.6</v>
          </cell>
          <cell r="X94">
            <v>45701.4</v>
          </cell>
          <cell r="Y94">
            <v>47265.2</v>
          </cell>
          <cell r="Z94">
            <v>48943.4</v>
          </cell>
          <cell r="AA94">
            <v>50880</v>
          </cell>
          <cell r="AB94">
            <v>53155</v>
          </cell>
          <cell r="AC94">
            <v>55632.2</v>
          </cell>
          <cell r="AD94">
            <v>58257.8</v>
          </cell>
          <cell r="AE94">
            <v>60881.2</v>
          </cell>
          <cell r="AF94">
            <v>63154.8</v>
          </cell>
        </row>
        <row r="95">
          <cell r="A95">
            <v>93</v>
          </cell>
          <cell r="B95">
            <v>20996.400000000001</v>
          </cell>
          <cell r="C95">
            <v>22766.799999999999</v>
          </cell>
          <cell r="D95">
            <v>24331.8</v>
          </cell>
          <cell r="E95">
            <v>25735</v>
          </cell>
          <cell r="F95">
            <v>27054.799999999999</v>
          </cell>
          <cell r="G95">
            <v>28349.200000000001</v>
          </cell>
          <cell r="H95">
            <v>29654.6</v>
          </cell>
          <cell r="I95">
            <v>30947.599999999999</v>
          </cell>
          <cell r="J95">
            <v>32182.400000000001</v>
          </cell>
          <cell r="K95">
            <v>33312.199999999997</v>
          </cell>
          <cell r="L95">
            <v>34339.599999999999</v>
          </cell>
          <cell r="M95">
            <v>35295.4</v>
          </cell>
          <cell r="N95">
            <v>40192.199999999997</v>
          </cell>
          <cell r="O95">
            <v>40891.800000000003</v>
          </cell>
          <cell r="P95">
            <v>41221</v>
          </cell>
          <cell r="Q95">
            <v>41124</v>
          </cell>
          <cell r="R95">
            <v>41194.400000000001</v>
          </cell>
          <cell r="S95">
            <v>41418</v>
          </cell>
          <cell r="T95">
            <v>41790.199999999997</v>
          </cell>
          <cell r="U95">
            <v>42491.4</v>
          </cell>
          <cell r="V95">
            <v>43401.599999999999</v>
          </cell>
          <cell r="W95">
            <v>44403.6</v>
          </cell>
          <cell r="X95">
            <v>45701.4</v>
          </cell>
          <cell r="Y95">
            <v>47265.2</v>
          </cell>
          <cell r="Z95">
            <v>48943.4</v>
          </cell>
          <cell r="AA95">
            <v>50880</v>
          </cell>
          <cell r="AB95">
            <v>53155</v>
          </cell>
          <cell r="AC95">
            <v>55632.2</v>
          </cell>
          <cell r="AD95">
            <v>58257.8</v>
          </cell>
          <cell r="AE95">
            <v>60881.2</v>
          </cell>
          <cell r="AF95">
            <v>63154.8</v>
          </cell>
        </row>
        <row r="96">
          <cell r="A96">
            <v>94</v>
          </cell>
          <cell r="B96">
            <v>20996.400000000001</v>
          </cell>
          <cell r="C96">
            <v>22766.799999999999</v>
          </cell>
          <cell r="D96">
            <v>24331.8</v>
          </cell>
          <cell r="E96">
            <v>25735</v>
          </cell>
          <cell r="F96">
            <v>27054.799999999999</v>
          </cell>
          <cell r="G96">
            <v>28349.200000000001</v>
          </cell>
          <cell r="H96">
            <v>29654.6</v>
          </cell>
          <cell r="I96">
            <v>30947.599999999999</v>
          </cell>
          <cell r="J96">
            <v>32182.400000000001</v>
          </cell>
          <cell r="K96">
            <v>33312.199999999997</v>
          </cell>
          <cell r="L96">
            <v>34339.599999999999</v>
          </cell>
          <cell r="M96">
            <v>35295.4</v>
          </cell>
          <cell r="N96">
            <v>40192.199999999997</v>
          </cell>
          <cell r="O96">
            <v>40891.800000000003</v>
          </cell>
          <cell r="P96">
            <v>41221</v>
          </cell>
          <cell r="Q96">
            <v>41124</v>
          </cell>
          <cell r="R96">
            <v>41194.400000000001</v>
          </cell>
          <cell r="S96">
            <v>41418</v>
          </cell>
          <cell r="T96">
            <v>41790.199999999997</v>
          </cell>
          <cell r="U96">
            <v>42491.4</v>
          </cell>
          <cell r="V96">
            <v>43401.599999999999</v>
          </cell>
          <cell r="W96">
            <v>44403.6</v>
          </cell>
          <cell r="X96">
            <v>45701.4</v>
          </cell>
          <cell r="Y96">
            <v>47265.2</v>
          </cell>
          <cell r="Z96">
            <v>48943.4</v>
          </cell>
          <cell r="AA96">
            <v>50880</v>
          </cell>
          <cell r="AB96">
            <v>53155</v>
          </cell>
          <cell r="AC96">
            <v>55632.2</v>
          </cell>
          <cell r="AD96">
            <v>58257.8</v>
          </cell>
          <cell r="AE96">
            <v>60881.2</v>
          </cell>
          <cell r="AF96">
            <v>63154.8</v>
          </cell>
        </row>
        <row r="97">
          <cell r="A97">
            <v>95</v>
          </cell>
          <cell r="B97">
            <v>4926.2</v>
          </cell>
          <cell r="C97">
            <v>4853.2</v>
          </cell>
          <cell r="D97">
            <v>5129.3999999999996</v>
          </cell>
          <cell r="E97">
            <v>5649</v>
          </cell>
          <cell r="F97">
            <v>6302.4</v>
          </cell>
          <cell r="G97">
            <v>7018.8</v>
          </cell>
          <cell r="H97">
            <v>7738.2</v>
          </cell>
          <cell r="I97">
            <v>8411.4</v>
          </cell>
          <cell r="J97">
            <v>9054.7999999999993</v>
          </cell>
          <cell r="K97">
            <v>9688</v>
          </cell>
          <cell r="L97">
            <v>10328.799999999999</v>
          </cell>
          <cell r="M97">
            <v>10991.2</v>
          </cell>
          <cell r="N97">
            <v>9685.6</v>
          </cell>
          <cell r="O97">
            <v>10467</v>
          </cell>
          <cell r="P97">
            <v>11536.8</v>
          </cell>
          <cell r="Q97">
            <v>12618.8</v>
          </cell>
          <cell r="R97">
            <v>13544.2</v>
          </cell>
          <cell r="S97">
            <v>14267.2</v>
          </cell>
          <cell r="T97">
            <v>14787.4</v>
          </cell>
          <cell r="U97">
            <v>14978.6</v>
          </cell>
          <cell r="V97">
            <v>15038.6</v>
          </cell>
          <cell r="W97">
            <v>15190.2</v>
          </cell>
          <cell r="X97">
            <v>15411.6</v>
          </cell>
          <cell r="Y97">
            <v>15691.2</v>
          </cell>
          <cell r="Z97">
            <v>16080.6</v>
          </cell>
          <cell r="AA97">
            <v>16545.599999999999</v>
          </cell>
          <cell r="AB97">
            <v>17057.400000000001</v>
          </cell>
          <cell r="AC97">
            <v>17697</v>
          </cell>
          <cell r="AD97">
            <v>18444.8</v>
          </cell>
          <cell r="AE97">
            <v>19235.2</v>
          </cell>
          <cell r="AF97">
            <v>20135.8</v>
          </cell>
        </row>
        <row r="98">
          <cell r="A98">
            <v>96</v>
          </cell>
          <cell r="B98">
            <v>4926.2</v>
          </cell>
          <cell r="C98">
            <v>4853.2</v>
          </cell>
          <cell r="D98">
            <v>5129.3999999999996</v>
          </cell>
          <cell r="E98">
            <v>5649</v>
          </cell>
          <cell r="F98">
            <v>6302.4</v>
          </cell>
          <cell r="G98">
            <v>7018.8</v>
          </cell>
          <cell r="H98">
            <v>7738.2</v>
          </cell>
          <cell r="I98">
            <v>8411.4</v>
          </cell>
          <cell r="J98">
            <v>9054.7999999999993</v>
          </cell>
          <cell r="K98">
            <v>9688</v>
          </cell>
          <cell r="L98">
            <v>10328.799999999999</v>
          </cell>
          <cell r="M98">
            <v>10991.2</v>
          </cell>
          <cell r="N98">
            <v>9685.6</v>
          </cell>
          <cell r="O98">
            <v>10467</v>
          </cell>
          <cell r="P98">
            <v>11536.8</v>
          </cell>
          <cell r="Q98">
            <v>12618.8</v>
          </cell>
          <cell r="R98">
            <v>13544.2</v>
          </cell>
          <cell r="S98">
            <v>14267.2</v>
          </cell>
          <cell r="T98">
            <v>14787.4</v>
          </cell>
          <cell r="U98">
            <v>14978.6</v>
          </cell>
          <cell r="V98">
            <v>15038.6</v>
          </cell>
          <cell r="W98">
            <v>15190.2</v>
          </cell>
          <cell r="X98">
            <v>15411.6</v>
          </cell>
          <cell r="Y98">
            <v>15691.2</v>
          </cell>
          <cell r="Z98">
            <v>16080.6</v>
          </cell>
          <cell r="AA98">
            <v>16545.599999999999</v>
          </cell>
          <cell r="AB98">
            <v>17057.400000000001</v>
          </cell>
          <cell r="AC98">
            <v>17697</v>
          </cell>
          <cell r="AD98">
            <v>18444.8</v>
          </cell>
          <cell r="AE98">
            <v>19235.2</v>
          </cell>
          <cell r="AF98">
            <v>20135.8</v>
          </cell>
        </row>
        <row r="99">
          <cell r="A99">
            <v>97</v>
          </cell>
          <cell r="B99">
            <v>4926.2</v>
          </cell>
          <cell r="C99">
            <v>4853.2</v>
          </cell>
          <cell r="D99">
            <v>5129.3999999999996</v>
          </cell>
          <cell r="E99">
            <v>5649</v>
          </cell>
          <cell r="F99">
            <v>6302.4</v>
          </cell>
          <cell r="G99">
            <v>7018.8</v>
          </cell>
          <cell r="H99">
            <v>7738.2</v>
          </cell>
          <cell r="I99">
            <v>8411.4</v>
          </cell>
          <cell r="J99">
            <v>9054.7999999999993</v>
          </cell>
          <cell r="K99">
            <v>9688</v>
          </cell>
          <cell r="L99">
            <v>10328.799999999999</v>
          </cell>
          <cell r="M99">
            <v>10991.2</v>
          </cell>
          <cell r="N99">
            <v>9685.6</v>
          </cell>
          <cell r="O99">
            <v>10467</v>
          </cell>
          <cell r="P99">
            <v>11536.8</v>
          </cell>
          <cell r="Q99">
            <v>12618.8</v>
          </cell>
          <cell r="R99">
            <v>13544.2</v>
          </cell>
          <cell r="S99">
            <v>14267.2</v>
          </cell>
          <cell r="T99">
            <v>14787.4</v>
          </cell>
          <cell r="U99">
            <v>14978.6</v>
          </cell>
          <cell r="V99">
            <v>15038.6</v>
          </cell>
          <cell r="W99">
            <v>15190.2</v>
          </cell>
          <cell r="X99">
            <v>15411.6</v>
          </cell>
          <cell r="Y99">
            <v>15691.2</v>
          </cell>
          <cell r="Z99">
            <v>16080.6</v>
          </cell>
          <cell r="AA99">
            <v>16545.599999999999</v>
          </cell>
          <cell r="AB99">
            <v>17057.400000000001</v>
          </cell>
          <cell r="AC99">
            <v>17697</v>
          </cell>
          <cell r="AD99">
            <v>18444.8</v>
          </cell>
          <cell r="AE99">
            <v>19235.2</v>
          </cell>
          <cell r="AF99">
            <v>20135.8</v>
          </cell>
        </row>
        <row r="100">
          <cell r="A100">
            <v>98</v>
          </cell>
          <cell r="B100">
            <v>4926.2</v>
          </cell>
          <cell r="C100">
            <v>4853.2</v>
          </cell>
          <cell r="D100">
            <v>5129.3999999999996</v>
          </cell>
          <cell r="E100">
            <v>5649</v>
          </cell>
          <cell r="F100">
            <v>6302.4</v>
          </cell>
          <cell r="G100">
            <v>7018.8</v>
          </cell>
          <cell r="H100">
            <v>7738.2</v>
          </cell>
          <cell r="I100">
            <v>8411.4</v>
          </cell>
          <cell r="J100">
            <v>9054.7999999999993</v>
          </cell>
          <cell r="K100">
            <v>9688</v>
          </cell>
          <cell r="L100">
            <v>10328.799999999999</v>
          </cell>
          <cell r="M100">
            <v>10991.2</v>
          </cell>
          <cell r="N100">
            <v>9685.6</v>
          </cell>
          <cell r="O100">
            <v>10467</v>
          </cell>
          <cell r="P100">
            <v>11536.8</v>
          </cell>
          <cell r="Q100">
            <v>12618.8</v>
          </cell>
          <cell r="R100">
            <v>13544.2</v>
          </cell>
          <cell r="S100">
            <v>14267.2</v>
          </cell>
          <cell r="T100">
            <v>14787.4</v>
          </cell>
          <cell r="U100">
            <v>14978.6</v>
          </cell>
          <cell r="V100">
            <v>15038.6</v>
          </cell>
          <cell r="W100">
            <v>15190.2</v>
          </cell>
          <cell r="X100">
            <v>15411.6</v>
          </cell>
          <cell r="Y100">
            <v>15691.2</v>
          </cell>
          <cell r="Z100">
            <v>16080.6</v>
          </cell>
          <cell r="AA100">
            <v>16545.599999999999</v>
          </cell>
          <cell r="AB100">
            <v>17057.400000000001</v>
          </cell>
          <cell r="AC100">
            <v>17697</v>
          </cell>
          <cell r="AD100">
            <v>18444.8</v>
          </cell>
          <cell r="AE100">
            <v>19235.2</v>
          </cell>
          <cell r="AF100">
            <v>20135.8</v>
          </cell>
        </row>
        <row r="101">
          <cell r="A101">
            <v>99</v>
          </cell>
          <cell r="B101">
            <v>4926.2</v>
          </cell>
          <cell r="C101">
            <v>4853.2</v>
          </cell>
          <cell r="D101">
            <v>5129.3999999999996</v>
          </cell>
          <cell r="E101">
            <v>5649</v>
          </cell>
          <cell r="F101">
            <v>6302.4</v>
          </cell>
          <cell r="G101">
            <v>7018.8</v>
          </cell>
          <cell r="H101">
            <v>7738.2</v>
          </cell>
          <cell r="I101">
            <v>8411.4</v>
          </cell>
          <cell r="J101">
            <v>9054.7999999999993</v>
          </cell>
          <cell r="K101">
            <v>9688</v>
          </cell>
          <cell r="L101">
            <v>10328.799999999999</v>
          </cell>
          <cell r="M101">
            <v>10991.2</v>
          </cell>
          <cell r="N101">
            <v>9685.6</v>
          </cell>
          <cell r="O101">
            <v>10467</v>
          </cell>
          <cell r="P101">
            <v>11536.8</v>
          </cell>
          <cell r="Q101">
            <v>12618.8</v>
          </cell>
          <cell r="R101">
            <v>13544.2</v>
          </cell>
          <cell r="S101">
            <v>14267.2</v>
          </cell>
          <cell r="T101">
            <v>14787.4</v>
          </cell>
          <cell r="U101">
            <v>14978.6</v>
          </cell>
          <cell r="V101">
            <v>15038.6</v>
          </cell>
          <cell r="W101">
            <v>15190.2</v>
          </cell>
          <cell r="X101">
            <v>15411.6</v>
          </cell>
          <cell r="Y101">
            <v>15691.2</v>
          </cell>
          <cell r="Z101">
            <v>16080.6</v>
          </cell>
          <cell r="AA101">
            <v>16545.599999999999</v>
          </cell>
          <cell r="AB101">
            <v>17057.400000000001</v>
          </cell>
          <cell r="AC101">
            <v>17697</v>
          </cell>
          <cell r="AD101">
            <v>18444.8</v>
          </cell>
          <cell r="AE101">
            <v>19235.2</v>
          </cell>
          <cell r="AF101">
            <v>20135.8</v>
          </cell>
        </row>
        <row r="102">
          <cell r="A102">
            <v>100</v>
          </cell>
          <cell r="B102">
            <v>3496</v>
          </cell>
          <cell r="C102">
            <v>4645</v>
          </cell>
          <cell r="D102">
            <v>5231</v>
          </cell>
          <cell r="E102">
            <v>5515</v>
          </cell>
          <cell r="F102">
            <v>5730</v>
          </cell>
          <cell r="G102">
            <v>5933</v>
          </cell>
          <cell r="H102">
            <v>6263</v>
          </cell>
          <cell r="I102">
            <v>6875</v>
          </cell>
          <cell r="J102">
            <v>7726</v>
          </cell>
          <cell r="K102">
            <v>8737</v>
          </cell>
          <cell r="L102">
            <v>9833</v>
          </cell>
          <cell r="M102">
            <v>10976</v>
          </cell>
          <cell r="N102">
            <v>7311</v>
          </cell>
          <cell r="O102">
            <v>7843</v>
          </cell>
          <cell r="P102">
            <v>8485</v>
          </cell>
          <cell r="Q102">
            <v>9247</v>
          </cell>
          <cell r="R102">
            <v>10217</v>
          </cell>
          <cell r="S102">
            <v>11367</v>
          </cell>
          <cell r="T102">
            <v>12654</v>
          </cell>
          <cell r="U102">
            <v>14049</v>
          </cell>
          <cell r="V102">
            <v>15478</v>
          </cell>
          <cell r="W102">
            <v>16756</v>
          </cell>
          <cell r="X102">
            <v>17842</v>
          </cell>
          <cell r="Y102">
            <v>18735</v>
          </cell>
          <cell r="Z102">
            <v>19276</v>
          </cell>
          <cell r="AA102">
            <v>19720</v>
          </cell>
          <cell r="AB102">
            <v>20298</v>
          </cell>
          <cell r="AC102">
            <v>20936</v>
          </cell>
          <cell r="AD102">
            <v>21610</v>
          </cell>
          <cell r="AE102">
            <v>22335</v>
          </cell>
          <cell r="AF102">
            <v>23133</v>
          </cell>
        </row>
        <row r="103">
          <cell r="A103" t="str">
            <v>total_pob</v>
          </cell>
          <cell r="B103">
            <v>40788453.000000045</v>
          </cell>
          <cell r="C103">
            <v>41261489.999999963</v>
          </cell>
          <cell r="D103">
            <v>41733271.00000003</v>
          </cell>
          <cell r="E103">
            <v>42202934.999999978</v>
          </cell>
          <cell r="F103">
            <v>42669499.999999911</v>
          </cell>
          <cell r="G103">
            <v>43131966.000000037</v>
          </cell>
          <cell r="H103">
            <v>43590368.000000097</v>
          </cell>
          <cell r="I103">
            <v>44044811.000000022</v>
          </cell>
          <cell r="J103">
            <v>44494501.999999978</v>
          </cell>
          <cell r="K103">
            <v>44938711.999999985</v>
          </cell>
          <cell r="L103">
            <v>45376762.999999985</v>
          </cell>
          <cell r="M103">
            <v>45808746.99999997</v>
          </cell>
          <cell r="N103">
            <v>46135579.000000022</v>
          </cell>
          <cell r="O103">
            <v>46214462</v>
          </cell>
          <cell r="P103">
            <v>46301742.999999978</v>
          </cell>
          <cell r="Q103">
            <v>46387098.00000003</v>
          </cell>
          <cell r="R103">
            <v>46466688.000000067</v>
          </cell>
          <cell r="S103">
            <v>46540071.000000037</v>
          </cell>
          <cell r="T103">
            <v>46609532.999999955</v>
          </cell>
          <cell r="U103">
            <v>46676998.999999993</v>
          </cell>
          <cell r="V103">
            <v>46744389.000000037</v>
          </cell>
          <cell r="W103">
            <v>46814264.000000075</v>
          </cell>
          <cell r="X103">
            <v>46886737</v>
          </cell>
          <cell r="Y103">
            <v>46961802.999999978</v>
          </cell>
          <cell r="Z103">
            <v>47039273.999999993</v>
          </cell>
          <cell r="AA103">
            <v>47118715.99999994</v>
          </cell>
          <cell r="AB103">
            <v>47199435.999999978</v>
          </cell>
          <cell r="AC103">
            <v>47280504.000000037</v>
          </cell>
          <cell r="AD103">
            <v>47360804.000000007</v>
          </cell>
          <cell r="AE103">
            <v>47439107.999999978</v>
          </cell>
          <cell r="AF103">
            <v>47514115.999999985</v>
          </cell>
        </row>
        <row r="104">
          <cell r="A104" t="str">
            <v>activos</v>
          </cell>
          <cell r="B104">
            <v>23176846.599999998</v>
          </cell>
          <cell r="C104">
            <v>23513598.600000005</v>
          </cell>
          <cell r="D104">
            <v>23848008.000000022</v>
          </cell>
          <cell r="E104">
            <v>24178553.799999986</v>
          </cell>
          <cell r="F104">
            <v>24503741.000000004</v>
          </cell>
          <cell r="G104">
            <v>24822256.000000007</v>
          </cell>
          <cell r="H104">
            <v>25132655.800000004</v>
          </cell>
          <cell r="I104">
            <v>25434320.000000011</v>
          </cell>
          <cell r="J104">
            <v>25728015.800000001</v>
          </cell>
          <cell r="K104">
            <v>26014966.000000004</v>
          </cell>
          <cell r="L104">
            <v>26296156.000000004</v>
          </cell>
          <cell r="M104">
            <v>26572229.399999984</v>
          </cell>
          <cell r="N104">
            <v>27275405.800000016</v>
          </cell>
          <cell r="O104">
            <v>27527147.400000002</v>
          </cell>
          <cell r="P104">
            <v>27793369.800000016</v>
          </cell>
          <cell r="Q104">
            <v>28067224.999999996</v>
          </cell>
          <cell r="R104">
            <v>28334130.400000021</v>
          </cell>
          <cell r="S104">
            <v>28593757.40000001</v>
          </cell>
          <cell r="T104">
            <v>28861032.20000001</v>
          </cell>
          <cell r="U104">
            <v>29139312.799999997</v>
          </cell>
          <cell r="V104">
            <v>29415773.000000007</v>
          </cell>
          <cell r="W104">
            <v>29683893.800000012</v>
          </cell>
          <cell r="X104">
            <v>29939844.200000018</v>
          </cell>
          <cell r="Y104">
            <v>30187462.199999984</v>
          </cell>
          <cell r="Z104">
            <v>30429657.599999987</v>
          </cell>
          <cell r="AA104">
            <v>30644196.800000001</v>
          </cell>
          <cell r="AB104">
            <v>30807135.000000011</v>
          </cell>
          <cell r="AC104">
            <v>30927262.399999991</v>
          </cell>
          <cell r="AD104">
            <v>31010596.799999982</v>
          </cell>
          <cell r="AE104">
            <v>31038330.400000006</v>
          </cell>
          <cell r="AF104">
            <v>30992481</v>
          </cell>
        </row>
        <row r="105">
          <cell r="A105" t="str">
            <v>pasivos</v>
          </cell>
          <cell r="B105">
            <v>4143127.0000000023</v>
          </cell>
          <cell r="C105">
            <v>4228547.9999999991</v>
          </cell>
          <cell r="D105">
            <v>4321424.0000000028</v>
          </cell>
          <cell r="E105">
            <v>4420825</v>
          </cell>
          <cell r="F105">
            <v>4525552.9999999981</v>
          </cell>
          <cell r="G105">
            <v>4634654.0000000009</v>
          </cell>
          <cell r="H105">
            <v>4747432.0000000019</v>
          </cell>
          <cell r="I105">
            <v>4863479.0000000019</v>
          </cell>
          <cell r="J105">
            <v>4982425.0000000028</v>
          </cell>
          <cell r="K105">
            <v>5103967.9999999972</v>
          </cell>
          <cell r="L105">
            <v>5227721.9999999925</v>
          </cell>
          <cell r="M105">
            <v>5353272.0000000028</v>
          </cell>
          <cell r="N105">
            <v>5529166.9999999981</v>
          </cell>
          <cell r="O105">
            <v>5610237.9999999963</v>
          </cell>
          <cell r="P105">
            <v>5711979.0000000009</v>
          </cell>
          <cell r="Q105">
            <v>5815926.9999999972</v>
          </cell>
          <cell r="R105">
            <v>5922326.9999999991</v>
          </cell>
          <cell r="S105">
            <v>6031328</v>
          </cell>
          <cell r="T105">
            <v>6142648.0000000047</v>
          </cell>
          <cell r="U105">
            <v>6255111.9999999972</v>
          </cell>
          <cell r="V105">
            <v>6367718</v>
          </cell>
          <cell r="W105">
            <v>6480544.0000000009</v>
          </cell>
          <cell r="X105">
            <v>6594031.9999999981</v>
          </cell>
          <cell r="Y105">
            <v>6709837.0000000009</v>
          </cell>
          <cell r="Z105">
            <v>6831712.9999999972</v>
          </cell>
          <cell r="AA105">
            <v>6963334.9999999991</v>
          </cell>
          <cell r="AB105">
            <v>7105814.0000000019</v>
          </cell>
          <cell r="AC105">
            <v>7258199.0000000037</v>
          </cell>
          <cell r="AD105">
            <v>7421087.9999999972</v>
          </cell>
          <cell r="AE105">
            <v>7597415.0000000028</v>
          </cell>
          <cell r="AF105">
            <v>7789605.9999999981</v>
          </cell>
        </row>
      </sheetData>
      <sheetData sheetId="5">
        <row r="200">
          <cell r="A200" t="str">
            <v>año</v>
          </cell>
          <cell r="B200">
            <v>2010</v>
          </cell>
          <cell r="C200">
            <v>2011</v>
          </cell>
          <cell r="D200">
            <v>2012</v>
          </cell>
          <cell r="E200">
            <v>2013</v>
          </cell>
          <cell r="F200">
            <v>2014</v>
          </cell>
          <cell r="G200">
            <v>2015</v>
          </cell>
          <cell r="H200">
            <v>2016</v>
          </cell>
          <cell r="I200">
            <v>2017</v>
          </cell>
          <cell r="J200">
            <v>2018</v>
          </cell>
          <cell r="K200">
            <v>2019</v>
          </cell>
          <cell r="L200">
            <v>2020</v>
          </cell>
          <cell r="M200">
            <v>2021</v>
          </cell>
          <cell r="N200">
            <v>2022</v>
          </cell>
          <cell r="O200">
            <v>2023</v>
          </cell>
          <cell r="P200">
            <v>2024</v>
          </cell>
          <cell r="Q200">
            <v>2025</v>
          </cell>
          <cell r="R200">
            <v>2026</v>
          </cell>
          <cell r="S200">
            <v>2027</v>
          </cell>
          <cell r="T200">
            <v>2028</v>
          </cell>
          <cell r="U200">
            <v>2029</v>
          </cell>
          <cell r="V200">
            <v>2030</v>
          </cell>
          <cell r="W200">
            <v>2031</v>
          </cell>
          <cell r="X200">
            <v>2032</v>
          </cell>
          <cell r="Y200">
            <v>2033</v>
          </cell>
          <cell r="Z200">
            <v>2034</v>
          </cell>
          <cell r="AA200">
            <v>2035</v>
          </cell>
          <cell r="AB200">
            <v>2036</v>
          </cell>
          <cell r="AC200">
            <v>2037</v>
          </cell>
          <cell r="AD200">
            <v>2038</v>
          </cell>
          <cell r="AE200">
            <v>2039</v>
          </cell>
          <cell r="AF200">
            <v>2040</v>
          </cell>
        </row>
        <row r="201">
          <cell r="A201" t="str">
            <v>pasivos</v>
          </cell>
          <cell r="B201">
            <v>5006017</v>
          </cell>
          <cell r="C201">
            <v>5110778</v>
          </cell>
          <cell r="D201">
            <v>5221132</v>
          </cell>
          <cell r="E201">
            <v>5336469</v>
          </cell>
          <cell r="F201">
            <v>5456063</v>
          </cell>
          <cell r="G201">
            <v>5579286</v>
          </cell>
          <cell r="H201">
            <v>5705593</v>
          </cell>
          <cell r="I201">
            <v>5834557</v>
          </cell>
          <cell r="J201">
            <v>5965976</v>
          </cell>
          <cell r="K201">
            <v>6099692</v>
          </cell>
          <cell r="L201">
            <v>6235500</v>
          </cell>
          <cell r="M201">
            <v>6373162</v>
          </cell>
          <cell r="N201">
            <v>6561658</v>
          </cell>
          <cell r="O201">
            <v>6653391</v>
          </cell>
          <cell r="P201">
            <v>6766575</v>
          </cell>
          <cell r="Q201">
            <v>6881509</v>
          </cell>
          <cell r="R201">
            <v>6998067</v>
          </cell>
          <cell r="S201">
            <v>7116449</v>
          </cell>
          <cell r="T201">
            <v>7237313</v>
          </cell>
          <cell r="U201">
            <v>7362051</v>
          </cell>
          <cell r="V201">
            <v>7492143</v>
          </cell>
          <cell r="W201">
            <v>7628272</v>
          </cell>
          <cell r="X201">
            <v>7770204</v>
          </cell>
          <cell r="Y201">
            <v>7919106</v>
          </cell>
          <cell r="Z201">
            <v>8078391</v>
          </cell>
          <cell r="AA201">
            <v>8251146</v>
          </cell>
          <cell r="AB201">
            <v>8438100</v>
          </cell>
          <cell r="AC201">
            <v>8638931</v>
          </cell>
          <cell r="AD201">
            <v>8851911</v>
          </cell>
          <cell r="AE201">
            <v>9072588</v>
          </cell>
          <cell r="AF201">
            <v>9296385</v>
          </cell>
        </row>
      </sheetData>
      <sheetData sheetId="6"/>
      <sheetData sheetId="7"/>
      <sheetData sheetId="8"/>
      <sheetData sheetId="9">
        <row r="1">
          <cell r="A1" t="str">
            <v>AÑO</v>
          </cell>
          <cell r="B1" t="str">
            <v>Tasa informalidad</v>
          </cell>
        </row>
        <row r="2">
          <cell r="A2">
            <v>1991</v>
          </cell>
          <cell r="B2">
            <v>0.36299999999999999</v>
          </cell>
        </row>
        <row r="3">
          <cell r="A3">
            <v>1992</v>
          </cell>
          <cell r="B3">
            <v>0.35</v>
          </cell>
        </row>
        <row r="4">
          <cell r="A4">
            <v>1993</v>
          </cell>
          <cell r="B4">
            <v>0.35799999999999998</v>
          </cell>
        </row>
        <row r="5">
          <cell r="A5">
            <v>1994</v>
          </cell>
          <cell r="B5">
            <v>0.32700000000000001</v>
          </cell>
        </row>
        <row r="6">
          <cell r="A6">
            <v>1995</v>
          </cell>
          <cell r="B6">
            <v>0.372</v>
          </cell>
        </row>
        <row r="7">
          <cell r="A7">
            <v>1996</v>
          </cell>
          <cell r="B7">
            <v>0.39500000000000002</v>
          </cell>
        </row>
        <row r="8">
          <cell r="A8">
            <v>1997</v>
          </cell>
          <cell r="B8">
            <v>0.40699999999999997</v>
          </cell>
        </row>
        <row r="9">
          <cell r="A9">
            <v>1998</v>
          </cell>
          <cell r="B9">
            <v>0.41799999999999998</v>
          </cell>
        </row>
        <row r="10">
          <cell r="A10">
            <v>1999</v>
          </cell>
          <cell r="B10">
            <v>0.42099999999999999</v>
          </cell>
        </row>
        <row r="11">
          <cell r="A11">
            <v>2000</v>
          </cell>
          <cell r="B11">
            <v>0.42399999999999999</v>
          </cell>
        </row>
        <row r="12">
          <cell r="A12">
            <v>2001</v>
          </cell>
          <cell r="B12">
            <v>0.42599999999999999</v>
          </cell>
        </row>
        <row r="13">
          <cell r="A13">
            <v>2002</v>
          </cell>
          <cell r="B13">
            <v>0.48599999999999999</v>
          </cell>
        </row>
        <row r="14">
          <cell r="A14">
            <v>2003</v>
          </cell>
          <cell r="B14">
            <v>0.54</v>
          </cell>
        </row>
        <row r="15">
          <cell r="A15">
            <v>2004</v>
          </cell>
          <cell r="B15">
            <v>0.53</v>
          </cell>
        </row>
        <row r="16">
          <cell r="A16">
            <v>2005</v>
          </cell>
          <cell r="B16">
            <v>0.52</v>
          </cell>
        </row>
        <row r="17">
          <cell r="A17">
            <v>2006</v>
          </cell>
          <cell r="B17">
            <v>0.5</v>
          </cell>
        </row>
        <row r="18">
          <cell r="A18">
            <v>2007</v>
          </cell>
          <cell r="B18">
            <v>0.47</v>
          </cell>
        </row>
        <row r="19">
          <cell r="A19">
            <v>2008</v>
          </cell>
          <cell r="B19">
            <v>0.45</v>
          </cell>
        </row>
        <row r="20">
          <cell r="A20">
            <v>2009</v>
          </cell>
          <cell r="B20">
            <v>0.44</v>
          </cell>
        </row>
        <row r="21">
          <cell r="A21">
            <v>2010</v>
          </cell>
          <cell r="B21">
            <v>0.43</v>
          </cell>
        </row>
        <row r="22">
          <cell r="A22">
            <v>2011</v>
          </cell>
          <cell r="B22">
            <v>0.43</v>
          </cell>
        </row>
        <row r="23">
          <cell r="A23">
            <v>2012</v>
          </cell>
          <cell r="B23">
            <v>0.43</v>
          </cell>
        </row>
        <row r="24">
          <cell r="A24">
            <v>2013</v>
          </cell>
          <cell r="B24">
            <v>0.43</v>
          </cell>
        </row>
        <row r="25">
          <cell r="A25">
            <v>2014</v>
          </cell>
          <cell r="B25">
            <v>0.42</v>
          </cell>
        </row>
        <row r="26">
          <cell r="A26">
            <v>2015</v>
          </cell>
          <cell r="B26">
            <v>0.41</v>
          </cell>
        </row>
        <row r="27">
          <cell r="A27">
            <v>2016</v>
          </cell>
          <cell r="B27">
            <v>0.42</v>
          </cell>
        </row>
        <row r="28">
          <cell r="A28">
            <v>2017</v>
          </cell>
          <cell r="B28">
            <v>0.43</v>
          </cell>
        </row>
        <row r="29">
          <cell r="A29">
            <v>2018</v>
          </cell>
          <cell r="B29">
            <v>0.44</v>
          </cell>
        </row>
        <row r="30">
          <cell r="A30">
            <v>2019</v>
          </cell>
          <cell r="B30">
            <v>0.45</v>
          </cell>
        </row>
        <row r="31">
          <cell r="A31">
            <v>2020</v>
          </cell>
          <cell r="B31">
            <v>0.43</v>
          </cell>
        </row>
        <row r="32">
          <cell r="A32">
            <v>2021</v>
          </cell>
          <cell r="B32">
            <v>0.32700000000000001</v>
          </cell>
        </row>
        <row r="33">
          <cell r="A33">
            <v>2022</v>
          </cell>
          <cell r="B33">
            <v>0.36599999999999999</v>
          </cell>
        </row>
        <row r="34">
          <cell r="A34">
            <v>2023</v>
          </cell>
          <cell r="B34">
            <v>0.41399999999999998</v>
          </cell>
        </row>
        <row r="35">
          <cell r="A35">
            <v>2024</v>
          </cell>
          <cell r="B35">
            <v>0.41799999999999998</v>
          </cell>
        </row>
        <row r="36">
          <cell r="A36">
            <v>2025</v>
          </cell>
          <cell r="B36">
            <v>0.42899999999999999</v>
          </cell>
        </row>
      </sheetData>
      <sheetData sheetId="10"/>
      <sheetData sheetId="11"/>
      <sheetData sheetId="12"/>
      <sheetData sheetId="13"/>
      <sheetData sheetId="14">
        <row r="3">
          <cell r="E3">
            <v>30.353945603565638</v>
          </cell>
        </row>
        <row r="196">
          <cell r="E196">
            <v>11031.5404</v>
          </cell>
        </row>
      </sheetData>
      <sheetData sheetId="15"/>
      <sheetData sheetId="16"/>
      <sheetData sheetId="17"/>
      <sheetData sheetId="18"/>
      <sheetData sheetId="19">
        <row r="2">
          <cell r="B2">
            <v>1995</v>
          </cell>
          <cell r="C2">
            <v>1996</v>
          </cell>
          <cell r="D2">
            <v>1997</v>
          </cell>
          <cell r="E2">
            <v>1998</v>
          </cell>
          <cell r="F2">
            <v>1999</v>
          </cell>
          <cell r="G2">
            <v>2000</v>
          </cell>
          <cell r="H2">
            <v>2001</v>
          </cell>
          <cell r="I2">
            <v>2002</v>
          </cell>
          <cell r="J2">
            <v>2003</v>
          </cell>
          <cell r="K2">
            <v>2004</v>
          </cell>
          <cell r="L2">
            <v>2005</v>
          </cell>
          <cell r="M2">
            <v>2006</v>
          </cell>
          <cell r="N2">
            <v>2007</v>
          </cell>
          <cell r="O2">
            <v>2008</v>
          </cell>
          <cell r="P2">
            <v>2009</v>
          </cell>
          <cell r="Q2">
            <v>2010</v>
          </cell>
          <cell r="R2">
            <v>2011</v>
          </cell>
          <cell r="S2">
            <v>2012</v>
          </cell>
          <cell r="T2">
            <v>2013</v>
          </cell>
          <cell r="U2">
            <v>2014</v>
          </cell>
          <cell r="V2">
            <v>2015</v>
          </cell>
          <cell r="W2">
            <v>2016</v>
          </cell>
          <cell r="X2">
            <v>2017</v>
          </cell>
          <cell r="Y2">
            <v>2018</v>
          </cell>
          <cell r="Z2">
            <v>2019</v>
          </cell>
          <cell r="AA2">
            <v>2020</v>
          </cell>
          <cell r="AB2">
            <v>2021</v>
          </cell>
          <cell r="AC2">
            <v>2022</v>
          </cell>
          <cell r="AD2">
            <v>2023</v>
          </cell>
          <cell r="AE2">
            <v>2024</v>
          </cell>
          <cell r="AF2">
            <v>2025</v>
          </cell>
        </row>
        <row r="3">
          <cell r="B3">
            <v>4656192.083333333</v>
          </cell>
          <cell r="C3">
            <v>4670354.25</v>
          </cell>
          <cell r="D3">
            <v>4894127.083333333</v>
          </cell>
          <cell r="E3">
            <v>5079413.916666667</v>
          </cell>
          <cell r="F3">
            <v>5336997.583333333</v>
          </cell>
          <cell r="G3">
            <v>5269392.666666667</v>
          </cell>
          <cell r="H3">
            <v>5098735.166666667</v>
          </cell>
          <cell r="I3">
            <v>4527266.333333333</v>
          </cell>
          <cell r="J3">
            <v>4832334.666666667</v>
          </cell>
          <cell r="K3">
            <v>5525914.333333333</v>
          </cell>
          <cell r="L3">
            <v>6183026.083333333</v>
          </cell>
          <cell r="M3">
            <v>6805138.416666667</v>
          </cell>
          <cell r="N3">
            <v>7436085.833333333</v>
          </cell>
          <cell r="O3">
            <v>7954587.833333333</v>
          </cell>
          <cell r="P3">
            <v>8082297.5</v>
          </cell>
          <cell r="Q3">
            <v>8393090.416666666</v>
          </cell>
          <cell r="R3">
            <v>8848221.5</v>
          </cell>
          <cell r="S3">
            <v>9087152.166666666</v>
          </cell>
          <cell r="T3">
            <v>9346847.666666666</v>
          </cell>
          <cell r="U3">
            <v>9560915.583333334</v>
          </cell>
          <cell r="V3">
            <v>9714265.166666666</v>
          </cell>
          <cell r="W3">
            <v>9765291.833333334</v>
          </cell>
          <cell r="X3">
            <v>9974332</v>
          </cell>
          <cell r="Y3">
            <v>10049510.083333334</v>
          </cell>
          <cell r="Z3">
            <v>9951766.166666666</v>
          </cell>
          <cell r="AA3">
            <v>9412768.25</v>
          </cell>
          <cell r="AB3">
            <v>9819841.583333334</v>
          </cell>
          <cell r="AC3">
            <v>10480043.916666666</v>
          </cell>
          <cell r="AD3">
            <v>10939177.333333334</v>
          </cell>
          <cell r="AE3">
            <v>10853459.5</v>
          </cell>
          <cell r="AF3">
            <v>10404410</v>
          </cell>
        </row>
      </sheetData>
      <sheetData sheetId="20">
        <row r="19">
          <cell r="B19">
            <v>2001</v>
          </cell>
          <cell r="C19">
            <v>2002</v>
          </cell>
          <cell r="D19">
            <v>2003</v>
          </cell>
          <cell r="E19">
            <v>2004</v>
          </cell>
          <cell r="F19">
            <v>2005</v>
          </cell>
          <cell r="G19">
            <v>2006</v>
          </cell>
          <cell r="H19">
            <v>2007</v>
          </cell>
          <cell r="I19">
            <v>2008</v>
          </cell>
          <cell r="J19">
            <v>2009</v>
          </cell>
          <cell r="K19">
            <v>2010</v>
          </cell>
          <cell r="L19">
            <v>2011</v>
          </cell>
          <cell r="M19">
            <v>2012</v>
          </cell>
          <cell r="N19">
            <v>2013</v>
          </cell>
          <cell r="O19">
            <v>2014</v>
          </cell>
          <cell r="P19">
            <v>2015</v>
          </cell>
          <cell r="Q19">
            <v>2016</v>
          </cell>
          <cell r="R19">
            <v>2017</v>
          </cell>
          <cell r="S19">
            <v>2018</v>
          </cell>
          <cell r="T19">
            <v>2019</v>
          </cell>
          <cell r="U19">
            <v>2020</v>
          </cell>
          <cell r="V19">
            <v>2021</v>
          </cell>
          <cell r="W19">
            <v>2022</v>
          </cell>
          <cell r="X19">
            <v>2023</v>
          </cell>
          <cell r="Y19">
            <v>2024</v>
          </cell>
          <cell r="Z19">
            <v>2025</v>
          </cell>
        </row>
        <row r="20">
          <cell r="B20">
            <v>1984587.9166666667</v>
          </cell>
          <cell r="C20">
            <v>1953410.0833333333</v>
          </cell>
          <cell r="D20">
            <v>1925530.75</v>
          </cell>
          <cell r="E20">
            <v>1881671</v>
          </cell>
          <cell r="F20">
            <v>1856967.1666666667</v>
          </cell>
          <cell r="G20">
            <v>2031435.4166666667</v>
          </cell>
          <cell r="H20">
            <v>3167799.416666667</v>
          </cell>
          <cell r="I20">
            <v>3611162.333333333</v>
          </cell>
          <cell r="J20">
            <v>4053665.666666667</v>
          </cell>
          <cell r="K20">
            <v>4224397.666666666</v>
          </cell>
          <cell r="L20">
            <v>4281335.166666667</v>
          </cell>
          <cell r="M20">
            <v>4309367.583333333</v>
          </cell>
          <cell r="N20">
            <v>4332215.833333334</v>
          </cell>
          <cell r="O20">
            <v>4357746.333333333</v>
          </cell>
          <cell r="P20">
            <v>4815401.416666667</v>
          </cell>
          <cell r="Q20">
            <v>5111177.666666667</v>
          </cell>
          <cell r="R20">
            <v>5249685.916666666</v>
          </cell>
          <cell r="S20">
            <v>5265956</v>
          </cell>
          <cell r="T20">
            <v>5266852.083333333</v>
          </cell>
          <cell r="U20">
            <v>5237572.75</v>
          </cell>
          <cell r="V20">
            <v>5163554.416666666</v>
          </cell>
          <cell r="W20">
            <v>5252570.583333334</v>
          </cell>
          <cell r="X20">
            <v>5361290.5</v>
          </cell>
          <cell r="Y20">
            <v>5630922.583333334</v>
          </cell>
          <cell r="Z20">
            <v>5779442.25</v>
          </cell>
        </row>
        <row r="21">
          <cell r="B21">
            <v>1327098.25</v>
          </cell>
          <cell r="C21">
            <v>1327077.1666666667</v>
          </cell>
          <cell r="D21">
            <v>1327478.3333333333</v>
          </cell>
          <cell r="E21">
            <v>1319835.1666666667</v>
          </cell>
          <cell r="F21">
            <v>1308369.1666666667</v>
          </cell>
          <cell r="G21">
            <v>1302511.75</v>
          </cell>
          <cell r="H21">
            <v>1292554.3333333333</v>
          </cell>
          <cell r="I21">
            <v>1308233.5833333333</v>
          </cell>
          <cell r="J21">
            <v>1407797.25</v>
          </cell>
          <cell r="K21">
            <v>1447749.25</v>
          </cell>
          <cell r="L21">
            <v>1467522.75</v>
          </cell>
          <cell r="M21">
            <v>1483444.4166666665</v>
          </cell>
          <cell r="N21">
            <v>1501789.6666666665</v>
          </cell>
          <cell r="O21">
            <v>1514931.6666666667</v>
          </cell>
          <cell r="P21">
            <v>1526784.5833333333</v>
          </cell>
          <cell r="Q21">
            <v>1546727.4166666665</v>
          </cell>
          <cell r="R21">
            <v>1574264.5833333335</v>
          </cell>
          <cell r="S21">
            <v>1588536.8333333333</v>
          </cell>
          <cell r="T21">
            <v>1596209.6666666667</v>
          </cell>
          <cell r="U21">
            <v>1603547.9166666667</v>
          </cell>
          <cell r="V21">
            <v>1610083.0833333333</v>
          </cell>
          <cell r="W21">
            <v>1631614.6666666667</v>
          </cell>
          <cell r="X21">
            <v>1642986.5</v>
          </cell>
          <cell r="Y21">
            <v>1647907.8333333333</v>
          </cell>
          <cell r="Z21">
            <v>1660287.4166666667</v>
          </cell>
        </row>
      </sheetData>
      <sheetData sheetId="21">
        <row r="4">
          <cell r="H4" t="str">
            <v>Año</v>
          </cell>
          <cell r="I4" t="str">
            <v>Pen</v>
          </cell>
          <cell r="J4" t="str">
            <v>Jub</v>
          </cell>
        </row>
        <row r="5">
          <cell r="H5">
            <v>2001</v>
          </cell>
          <cell r="I5">
            <v>0</v>
          </cell>
          <cell r="J5">
            <v>0</v>
          </cell>
        </row>
        <row r="6">
          <cell r="H6">
            <v>2002</v>
          </cell>
          <cell r="I6">
            <v>0</v>
          </cell>
          <cell r="J6">
            <v>0</v>
          </cell>
        </row>
        <row r="7">
          <cell r="H7">
            <v>2003</v>
          </cell>
          <cell r="I7">
            <v>0</v>
          </cell>
          <cell r="J7">
            <v>0</v>
          </cell>
        </row>
        <row r="8">
          <cell r="H8">
            <v>2004</v>
          </cell>
          <cell r="I8">
            <v>0</v>
          </cell>
          <cell r="J8">
            <v>0</v>
          </cell>
        </row>
        <row r="9">
          <cell r="H9">
            <v>2005</v>
          </cell>
          <cell r="I9">
            <v>1.6241593383111164E-5</v>
          </cell>
          <cell r="J9">
            <v>2.5914118208695668E-3</v>
          </cell>
        </row>
        <row r="10">
          <cell r="H10">
            <v>2006</v>
          </cell>
          <cell r="I10">
            <v>3.8969578073543931E-4</v>
          </cell>
          <cell r="J10">
            <v>9.3224926134947678E-2</v>
          </cell>
        </row>
        <row r="11">
          <cell r="H11">
            <v>2007</v>
          </cell>
          <cell r="I11">
            <v>6.6985578684893455E-3</v>
          </cell>
          <cell r="J11">
            <v>0.43493526118407166</v>
          </cell>
        </row>
        <row r="12">
          <cell r="H12">
            <v>2008</v>
          </cell>
          <cell r="I12">
            <v>2.2708355535132202E-2</v>
          </cell>
          <cell r="J12">
            <v>0.50937013631898953</v>
          </cell>
        </row>
        <row r="13">
          <cell r="H13">
            <v>2009</v>
          </cell>
          <cell r="I13">
            <v>4.341433635655513E-2</v>
          </cell>
          <cell r="J13">
            <v>0.52733653334508668</v>
          </cell>
        </row>
        <row r="14">
          <cell r="H14">
            <v>2010</v>
          </cell>
          <cell r="I14">
            <v>6.8140137757511071E-2</v>
          </cell>
          <cell r="J14">
            <v>0.55036867977943682</v>
          </cell>
        </row>
        <row r="15">
          <cell r="H15">
            <v>2011</v>
          </cell>
          <cell r="I15">
            <v>9.0319610604560202E-2</v>
          </cell>
          <cell r="J15">
            <v>0.5643559557803054</v>
          </cell>
        </row>
        <row r="16">
          <cell r="H16">
            <v>2012</v>
          </cell>
          <cell r="I16">
            <v>0.11107752436292273</v>
          </cell>
          <cell r="J16">
            <v>0.57304348079999601</v>
          </cell>
        </row>
        <row r="17">
          <cell r="H17">
            <v>2013</v>
          </cell>
          <cell r="I17">
            <v>0.12767256133737329</v>
          </cell>
          <cell r="J17">
            <v>0.57835601450297081</v>
          </cell>
        </row>
        <row r="18">
          <cell r="H18">
            <v>2014</v>
          </cell>
          <cell r="I18">
            <v>0.14253695711247702</v>
          </cell>
          <cell r="J18">
            <v>0.58264703949801577</v>
          </cell>
        </row>
        <row r="19">
          <cell r="H19">
            <v>2015</v>
          </cell>
          <cell r="I19">
            <v>0.15754727459642173</v>
          </cell>
          <cell r="J19">
            <v>0.62316289761720622</v>
          </cell>
        </row>
        <row r="20">
          <cell r="H20">
            <v>2016</v>
          </cell>
          <cell r="I20">
            <v>0.17817899286175667</v>
          </cell>
          <cell r="J20">
            <v>0.64430317526952197</v>
          </cell>
        </row>
        <row r="21">
          <cell r="H21">
            <v>2017</v>
          </cell>
          <cell r="I21">
            <v>0.20249259244065018</v>
          </cell>
          <cell r="J21">
            <v>0.64959979907369381</v>
          </cell>
        </row>
        <row r="22">
          <cell r="H22">
            <v>2018</v>
          </cell>
          <cell r="I22">
            <v>0.22394591416986345</v>
          </cell>
          <cell r="J22">
            <v>0.64829804882532249</v>
          </cell>
        </row>
        <row r="23">
          <cell r="H23">
            <v>2019</v>
          </cell>
          <cell r="I23">
            <v>0.24363100586827671</v>
          </cell>
          <cell r="J23">
            <v>0.65078254760809451</v>
          </cell>
        </row>
        <row r="24">
          <cell r="H24">
            <v>2020</v>
          </cell>
          <cell r="I24">
            <v>0.25688032916592501</v>
          </cell>
          <cell r="J24">
            <v>0.65254711736462279</v>
          </cell>
        </row>
        <row r="25">
          <cell r="H25">
            <v>2021</v>
          </cell>
          <cell r="I25">
            <v>0.27080760894481792</v>
          </cell>
          <cell r="J25">
            <v>0.65472103010179383</v>
          </cell>
        </row>
        <row r="26">
          <cell r="H26">
            <v>2022</v>
          </cell>
          <cell r="I26">
            <v>0.28791366997599921</v>
          </cell>
          <cell r="J26">
            <v>0.66019014467630421</v>
          </cell>
        </row>
        <row r="27">
          <cell r="H27">
            <v>2023</v>
          </cell>
          <cell r="I27">
            <v>0.30279565088737287</v>
          </cell>
          <cell r="J27">
            <v>0.66756467806895869</v>
          </cell>
        </row>
        <row r="28">
          <cell r="H28">
            <v>2024</v>
          </cell>
          <cell r="I28">
            <v>0.31451779210548486</v>
          </cell>
          <cell r="J28">
            <v>0.68161345259719197</v>
          </cell>
        </row>
        <row r="29">
          <cell r="H29">
            <v>2025</v>
          </cell>
          <cell r="I29">
            <v>0.32724047929653144</v>
          </cell>
          <cell r="J29">
            <v>0.68551242985428218</v>
          </cell>
        </row>
        <row r="30">
          <cell r="H30">
            <v>2026</v>
          </cell>
          <cell r="I30">
            <v>0.33637706763951414</v>
          </cell>
          <cell r="J30">
            <v>0.68233085555378747</v>
          </cell>
        </row>
      </sheetData>
      <sheetData sheetId="22">
        <row r="4">
          <cell r="J4">
            <v>0.18234941161999774</v>
          </cell>
        </row>
      </sheetData>
      <sheetData sheetId="23">
        <row r="37">
          <cell r="N37">
            <v>-0.44399455599417648</v>
          </cell>
          <cell r="P37">
            <v>-0.78529600553545076</v>
          </cell>
        </row>
      </sheetData>
      <sheetData sheetId="24"/>
      <sheetData sheetId="25">
        <row r="11">
          <cell r="A11" t="str">
            <v>t</v>
          </cell>
          <cell r="B11">
            <v>2010</v>
          </cell>
          <cell r="C11">
            <v>2011</v>
          </cell>
          <cell r="D11">
            <v>2012</v>
          </cell>
          <cell r="E11">
            <v>2013</v>
          </cell>
          <cell r="F11">
            <v>2014</v>
          </cell>
          <cell r="G11">
            <v>2015</v>
          </cell>
          <cell r="H11">
            <v>2016</v>
          </cell>
          <cell r="I11">
            <v>2017</v>
          </cell>
          <cell r="J11">
            <v>2018</v>
          </cell>
          <cell r="K11">
            <v>2019</v>
          </cell>
          <cell r="L11">
            <v>2020</v>
          </cell>
          <cell r="M11">
            <v>2021</v>
          </cell>
          <cell r="N11">
            <v>2022</v>
          </cell>
          <cell r="O11">
            <v>2023</v>
          </cell>
          <cell r="P11">
            <v>2024</v>
          </cell>
          <cell r="Q11">
            <v>2025</v>
          </cell>
        </row>
        <row r="12">
          <cell r="A12" t="str">
            <v>edad</v>
          </cell>
          <cell r="B12">
            <v>34</v>
          </cell>
          <cell r="C12">
            <v>35</v>
          </cell>
          <cell r="D12">
            <v>36</v>
          </cell>
          <cell r="E12">
            <v>37</v>
          </cell>
          <cell r="F12">
            <v>38</v>
          </cell>
          <cell r="G12">
            <v>39</v>
          </cell>
          <cell r="H12">
            <v>40</v>
          </cell>
          <cell r="I12">
            <v>41</v>
          </cell>
          <cell r="J12">
            <v>42</v>
          </cell>
          <cell r="K12">
            <v>43</v>
          </cell>
          <cell r="L12">
            <v>44</v>
          </cell>
          <cell r="M12">
            <v>45</v>
          </cell>
          <cell r="N12">
            <v>46</v>
          </cell>
          <cell r="O12">
            <v>47</v>
          </cell>
          <cell r="P12">
            <v>48</v>
          </cell>
          <cell r="Q12">
            <v>49</v>
          </cell>
        </row>
        <row r="13">
          <cell r="A13" t="str">
            <v>años hasta r</v>
          </cell>
          <cell r="B13">
            <v>31</v>
          </cell>
          <cell r="C13">
            <v>30</v>
          </cell>
          <cell r="D13">
            <v>29</v>
          </cell>
          <cell r="E13">
            <v>28</v>
          </cell>
          <cell r="F13">
            <v>27</v>
          </cell>
          <cell r="G13">
            <v>26</v>
          </cell>
          <cell r="H13">
            <v>25</v>
          </cell>
          <cell r="I13">
            <v>24</v>
          </cell>
          <cell r="J13">
            <v>23</v>
          </cell>
          <cell r="K13">
            <v>22</v>
          </cell>
          <cell r="L13">
            <v>21</v>
          </cell>
          <cell r="M13">
            <v>20</v>
          </cell>
          <cell r="N13">
            <v>19</v>
          </cell>
          <cell r="O13">
            <v>18</v>
          </cell>
          <cell r="P13">
            <v>17</v>
          </cell>
          <cell r="Q13">
            <v>16</v>
          </cell>
        </row>
        <row r="14">
          <cell r="A14" t="str">
            <v>aporte mensual promedio</v>
          </cell>
          <cell r="B14">
            <v>645.40851478828438</v>
          </cell>
          <cell r="C14">
            <v>840.12265239221767</v>
          </cell>
          <cell r="D14">
            <v>1103.4668933570679</v>
          </cell>
          <cell r="E14">
            <v>1387.3083984278383</v>
          </cell>
          <cell r="F14">
            <v>1801.4843620413353</v>
          </cell>
          <cell r="G14">
            <v>2388.0588273857893</v>
          </cell>
          <cell r="H14">
            <v>3061.6742901496887</v>
          </cell>
          <cell r="I14">
            <v>3884.1466322089382</v>
          </cell>
          <cell r="J14">
            <v>4873.6826554979143</v>
          </cell>
          <cell r="K14">
            <v>6788.2564903177135</v>
          </cell>
          <cell r="L14">
            <v>9206.6563223454068</v>
          </cell>
          <cell r="M14">
            <v>13425.291625381311</v>
          </cell>
          <cell r="N14">
            <v>23162.385977957765</v>
          </cell>
          <cell r="O14">
            <v>52703.090587302031</v>
          </cell>
          <cell r="P14">
            <v>155090.9069667263</v>
          </cell>
          <cell r="Q14">
            <v>264675.06713162782</v>
          </cell>
        </row>
        <row r="15">
          <cell r="A15" t="str">
            <v>id indice IPC</v>
          </cell>
          <cell r="B15">
            <v>12</v>
          </cell>
          <cell r="C15">
            <v>24</v>
          </cell>
          <cell r="D15">
            <v>36</v>
          </cell>
          <cell r="E15">
            <v>48</v>
          </cell>
          <cell r="F15">
            <v>60</v>
          </cell>
          <cell r="G15">
            <v>72</v>
          </cell>
          <cell r="H15">
            <v>84</v>
          </cell>
          <cell r="I15">
            <v>96</v>
          </cell>
          <cell r="J15">
            <v>108</v>
          </cell>
          <cell r="K15">
            <v>120</v>
          </cell>
          <cell r="L15">
            <v>132</v>
          </cell>
          <cell r="M15">
            <v>144</v>
          </cell>
          <cell r="N15">
            <v>156</v>
          </cell>
          <cell r="O15">
            <v>168</v>
          </cell>
          <cell r="P15">
            <v>180</v>
          </cell>
          <cell r="Q15">
            <v>191</v>
          </cell>
        </row>
        <row r="16">
          <cell r="A16" t="str">
            <v>indice precios en t dic</v>
          </cell>
          <cell r="B16">
            <v>33.79130733953302</v>
          </cell>
          <cell r="C16">
            <v>38.073884913272785</v>
          </cell>
          <cell r="D16">
            <v>43.072108695465118</v>
          </cell>
          <cell r="E16">
            <v>49.430060273717295</v>
          </cell>
          <cell r="F16">
            <v>63.403240821703079</v>
          </cell>
          <cell r="G16">
            <v>74.301150113689388</v>
          </cell>
          <cell r="H16">
            <v>100</v>
          </cell>
          <cell r="I16">
            <v>125.03919999999999</v>
          </cell>
          <cell r="J16">
            <v>183.93809999999999</v>
          </cell>
          <cell r="K16">
            <v>281.17750000000001</v>
          </cell>
          <cell r="L16">
            <v>377.05070000000001</v>
          </cell>
          <cell r="M16">
            <v>570.99810000000002</v>
          </cell>
          <cell r="N16">
            <v>1114.5359000000001</v>
          </cell>
          <cell r="O16">
            <v>3456.6426000000001</v>
          </cell>
          <cell r="P16">
            <v>7678.7745000000004</v>
          </cell>
          <cell r="Q16">
            <v>9840.8456999999999</v>
          </cell>
        </row>
        <row r="17">
          <cell r="A17" t="str">
            <v>indice precios 2026 mar</v>
          </cell>
          <cell r="B17">
            <v>11031.5404</v>
          </cell>
          <cell r="C17">
            <v>11031.5404</v>
          </cell>
          <cell r="D17">
            <v>11031.5404</v>
          </cell>
          <cell r="E17">
            <v>11031.5404</v>
          </cell>
          <cell r="F17">
            <v>11031.5404</v>
          </cell>
          <cell r="G17">
            <v>11031.5404</v>
          </cell>
          <cell r="H17">
            <v>11031.5404</v>
          </cell>
          <cell r="I17">
            <v>11031.5404</v>
          </cell>
          <cell r="J17">
            <v>11031.5404</v>
          </cell>
          <cell r="K17">
            <v>11031.5404</v>
          </cell>
          <cell r="L17">
            <v>11031.5404</v>
          </cell>
          <cell r="M17">
            <v>11031.5404</v>
          </cell>
          <cell r="N17">
            <v>11031.5404</v>
          </cell>
          <cell r="O17">
            <v>11031.5404</v>
          </cell>
          <cell r="P17">
            <v>11031.5404</v>
          </cell>
          <cell r="Q17">
            <v>11031.5404</v>
          </cell>
        </row>
        <row r="18">
          <cell r="A18" t="str">
            <v>proba p(x;65-x)</v>
          </cell>
          <cell r="B18">
            <v>0.8581899984020569</v>
          </cell>
          <cell r="C18">
            <v>0.85918132026520599</v>
          </cell>
          <cell r="D18">
            <v>0.86022197663342925</v>
          </cell>
          <cell r="E18">
            <v>0.86131995406861894</v>
          </cell>
          <cell r="F18">
            <v>0.86248403330006695</v>
          </cell>
          <cell r="G18">
            <v>0.86372391193634768</v>
          </cell>
          <cell r="H18">
            <v>0.86505032496138801</v>
          </cell>
          <cell r="I18">
            <v>0.86647516074971109</v>
          </cell>
          <cell r="J18">
            <v>0.86801157316092759</v>
          </cell>
          <cell r="K18">
            <v>0.86967409265639262</v>
          </cell>
          <cell r="L18">
            <v>0.87147874132963166</v>
          </cell>
          <cell r="M18">
            <v>0.87344315826931518</v>
          </cell>
          <cell r="N18">
            <v>0.87558674279654825</v>
          </cell>
          <cell r="O18">
            <v>0.8779308238586081</v>
          </cell>
          <cell r="P18">
            <v>0.88049886424374058</v>
          </cell>
          <cell r="Q18">
            <v>0.88331670833249121</v>
          </cell>
        </row>
        <row r="20">
          <cell r="A20" t="str">
            <v>aporte a mar 26</v>
          </cell>
          <cell r="B20">
            <v>210700.64066628533</v>
          </cell>
          <cell r="C20">
            <v>243417.42383081792</v>
          </cell>
          <cell r="D20">
            <v>282617.68422340148</v>
          </cell>
          <cell r="E20">
            <v>309612.17849563173</v>
          </cell>
          <cell r="F20">
            <v>313440.56332566193</v>
          </cell>
          <cell r="G20">
            <v>354556.65748879564</v>
          </cell>
          <cell r="H20">
            <v>337749.83623427612</v>
          </cell>
          <cell r="I20">
            <v>342677.50027780765</v>
          </cell>
          <cell r="J20">
            <v>292295.21839632205</v>
          </cell>
          <cell r="K20">
            <v>266326.16663318389</v>
          </cell>
          <cell r="L20">
            <v>269363.24788382242</v>
          </cell>
          <cell r="M20">
            <v>259373.27452959231</v>
          </cell>
          <cell r="N20">
            <v>229258.47132984642</v>
          </cell>
          <cell r="O20">
            <v>168196.81416258716</v>
          </cell>
          <cell r="P20">
            <v>222807.89804103278</v>
          </cell>
          <cell r="Q20">
            <v>296699.46922704665</v>
          </cell>
        </row>
        <row r="29">
          <cell r="B29">
            <v>695343.69820517104</v>
          </cell>
        </row>
      </sheetData>
      <sheetData sheetId="26">
        <row r="7">
          <cell r="S7">
            <v>0.41712499999999997</v>
          </cell>
        </row>
      </sheetData>
      <sheetData sheetId="27">
        <row r="1">
          <cell r="N1">
            <v>2022</v>
          </cell>
          <cell r="O1">
            <v>2023</v>
          </cell>
          <cell r="P1">
            <v>2024</v>
          </cell>
          <cell r="Q1">
            <v>2025</v>
          </cell>
        </row>
        <row r="11">
          <cell r="S11">
            <v>0.65691619842857352</v>
          </cell>
        </row>
        <row r="15">
          <cell r="S15">
            <v>0.84066970570692801</v>
          </cell>
        </row>
        <row r="16">
          <cell r="S16">
            <v>0.62919165571360747</v>
          </cell>
        </row>
        <row r="23">
          <cell r="S23">
            <v>3.5520398746368261E-2</v>
          </cell>
        </row>
        <row r="24">
          <cell r="S24">
            <v>0.20660613134299652</v>
          </cell>
        </row>
        <row r="43">
          <cell r="Q43">
            <v>128439351452294.7</v>
          </cell>
        </row>
        <row r="49">
          <cell r="N49">
            <v>1.299819917850908</v>
          </cell>
          <cell r="O49">
            <v>0.99538069428314435</v>
          </cell>
          <cell r="P49">
            <v>1.241748445653085</v>
          </cell>
          <cell r="Q49">
            <v>1.5663106328744845</v>
          </cell>
        </row>
        <row r="50">
          <cell r="N50">
            <v>0.96622668252230204</v>
          </cell>
          <cell r="O50">
            <v>0.72902522831883243</v>
          </cell>
          <cell r="P50">
            <v>0.92224535818824738</v>
          </cell>
          <cell r="Q50">
            <v>1.1511805711285612</v>
          </cell>
        </row>
        <row r="60">
          <cell r="B60">
            <v>0.18234941161999774</v>
          </cell>
        </row>
        <row r="61">
          <cell r="B61">
            <v>-0.44399455599417648</v>
          </cell>
        </row>
        <row r="62">
          <cell r="B62">
            <v>-0.78529600553545076</v>
          </cell>
        </row>
        <row r="63">
          <cell r="B63">
            <v>21.348257018514083</v>
          </cell>
        </row>
        <row r="64">
          <cell r="B64">
            <v>12.939231022180321</v>
          </cell>
        </row>
      </sheetData>
      <sheetData sheetId="28">
        <row r="20">
          <cell r="Q20">
            <v>296699.46922704665</v>
          </cell>
        </row>
        <row r="24">
          <cell r="J24">
            <v>37341882.569183491</v>
          </cell>
          <cell r="Q24">
            <v>65217207.22601302</v>
          </cell>
        </row>
        <row r="31">
          <cell r="B31">
            <v>18.933798886996101</v>
          </cell>
        </row>
      </sheetData>
      <sheetData sheetId="29"/>
      <sheetData sheetId="3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_mort"/>
      <sheetName val="tabla_mort_raw"/>
      <sheetName val="ndc_arg_prom"/>
      <sheetName val="ndc_jub_sim"/>
    </sheetNames>
    <sheetDataSet>
      <sheetData sheetId="0" refreshError="1"/>
      <sheetData sheetId="1">
        <row r="8">
          <cell r="B8" t="str">
            <v>Edad</v>
          </cell>
        </row>
        <row r="59">
          <cell r="F59">
            <v>0.99924990982192463</v>
          </cell>
        </row>
        <row r="60">
          <cell r="F60">
            <v>0.9991597865254549</v>
          </cell>
        </row>
        <row r="61">
          <cell r="F61">
            <v>0.99910576333200973</v>
          </cell>
        </row>
        <row r="62">
          <cell r="F62">
            <v>0.99907527789104211</v>
          </cell>
        </row>
        <row r="63">
          <cell r="F63">
            <v>0.99905900230637101</v>
          </cell>
        </row>
        <row r="64">
          <cell r="F64">
            <v>0.99905015185677482</v>
          </cell>
        </row>
        <row r="65">
          <cell r="F65">
            <v>0.99904390579105684</v>
          </cell>
        </row>
        <row r="66">
          <cell r="F66">
            <v>0.99903692521854848</v>
          </cell>
        </row>
        <row r="67">
          <cell r="F67">
            <v>0.99902695596616475</v>
          </cell>
        </row>
        <row r="68">
          <cell r="F68">
            <v>0.99901250597649127</v>
          </cell>
        </row>
        <row r="69">
          <cell r="F69">
            <v>0.99899258788667866</v>
          </cell>
        </row>
        <row r="70">
          <cell r="F70">
            <v>0.99896651816287674</v>
          </cell>
        </row>
        <row r="71">
          <cell r="F71">
            <v>0.99893376474667128</v>
          </cell>
        </row>
        <row r="72">
          <cell r="F72">
            <v>0.99889383569375345</v>
          </cell>
        </row>
        <row r="73">
          <cell r="F73">
            <v>0.99884620179726091</v>
          </cell>
        </row>
        <row r="74">
          <cell r="F74">
            <v>0.998790246707837</v>
          </cell>
        </row>
        <row r="75">
          <cell r="F75">
            <v>0.99872523859455098</v>
          </cell>
        </row>
        <row r="76">
          <cell r="F76">
            <v>0.99865031793458958</v>
          </cell>
        </row>
        <row r="77">
          <cell r="F77">
            <v>0.99856449657217305</v>
          </cell>
        </row>
        <row r="78">
          <cell r="F78">
            <v>0.99846666374571957</v>
          </cell>
        </row>
        <row r="79">
          <cell r="F79">
            <v>0.99835559534437179</v>
          </cell>
        </row>
        <row r="80">
          <cell r="F80">
            <v>0.99822996321855295</v>
          </cell>
        </row>
        <row r="81">
          <cell r="F81">
            <v>0.99808834193233587</v>
          </cell>
        </row>
        <row r="82">
          <cell r="F82">
            <v>0.99792921090595332</v>
          </cell>
        </row>
        <row r="83">
          <cell r="F83">
            <v>0.99775095045271645</v>
          </cell>
        </row>
        <row r="84">
          <cell r="F84">
            <v>0.99755183076392107</v>
          </cell>
        </row>
        <row r="85">
          <cell r="F85">
            <v>0.99732999343643336</v>
          </cell>
        </row>
        <row r="86">
          <cell r="F86">
            <v>0.99708342566990349</v>
          </cell>
        </row>
        <row r="87">
          <cell r="F87">
            <v>0.99680992778448618</v>
          </cell>
        </row>
        <row r="88">
          <cell r="F88">
            <v>0.99650707522811843</v>
          </cell>
        </row>
        <row r="89">
          <cell r="F89">
            <v>0.99617217675958725</v>
          </cell>
        </row>
        <row r="90">
          <cell r="F90">
            <v>0.99580223101794862</v>
          </cell>
        </row>
        <row r="91">
          <cell r="F91">
            <v>0.99539388423273478</v>
          </cell>
        </row>
        <row r="92">
          <cell r="F92">
            <v>0.99494339241091023</v>
          </cell>
        </row>
        <row r="93">
          <cell r="F93">
            <v>0.99444659198236829</v>
          </cell>
        </row>
        <row r="94">
          <cell r="F94">
            <v>0.99389888363376366</v>
          </cell>
        </row>
        <row r="95">
          <cell r="F95">
            <v>0.99329523496527106</v>
          </cell>
        </row>
        <row r="96">
          <cell r="F96">
            <v>0.99263020874371277</v>
          </cell>
        </row>
        <row r="97">
          <cell r="F97">
            <v>0.99189802500750879</v>
          </cell>
        </row>
        <row r="98">
          <cell r="F98">
            <v>0.99109266725621237</v>
          </cell>
        </row>
        <row r="99">
          <cell r="F99">
            <v>0.99020804564028431</v>
          </cell>
        </row>
        <row r="100">
          <cell r="F100">
            <v>0.98923823374148523</v>
          </cell>
        </row>
        <row r="101">
          <cell r="F101">
            <v>0.98817780058625193</v>
          </cell>
        </row>
        <row r="102">
          <cell r="F102">
            <v>0.98702226647245839</v>
          </cell>
        </row>
        <row r="103">
          <cell r="F103">
            <v>0.98576872067166876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FEBE-14C3-4EA6-9ACE-36988BE01A0D}">
  <dimension ref="A1:H20"/>
  <sheetViews>
    <sheetView workbookViewId="0">
      <selection activeCell="D14" sqref="D14"/>
    </sheetView>
  </sheetViews>
  <sheetFormatPr baseColWidth="10" defaultRowHeight="15" x14ac:dyDescent="0.25"/>
  <cols>
    <col min="2" max="2" width="11.85546875" bestFit="1" customWidth="1"/>
  </cols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cm="1">
        <f t="array" ref="A2:A5">+TRANSPOSE('[7]NDC_10-25_morat'!N1:Q1)</f>
        <v>2022</v>
      </c>
      <c r="B2" cm="1">
        <f t="array" ref="B2:B5">+TRANSPOSE('[7]NDC_10-25_morat'!N49:Q49)</f>
        <v>1.299819917850908</v>
      </c>
      <c r="C2" cm="1">
        <f t="array" ref="C2:C5">+TRANSPOSE('[7]NDC_10-25_morat'!N50:Q50)</f>
        <v>0.96622668252230204</v>
      </c>
    </row>
    <row r="3" spans="1:3" x14ac:dyDescent="0.25">
      <c r="A3">
        <v>2023</v>
      </c>
      <c r="B3">
        <v>0.99538069428314435</v>
      </c>
      <c r="C3">
        <v>0.72902522831883243</v>
      </c>
    </row>
    <row r="4" spans="1:3" x14ac:dyDescent="0.25">
      <c r="A4">
        <v>2024</v>
      </c>
      <c r="B4">
        <v>1.241748445653085</v>
      </c>
      <c r="C4">
        <v>0.92224535818824738</v>
      </c>
    </row>
    <row r="5" spans="1:3" x14ac:dyDescent="0.25">
      <c r="A5">
        <v>2025</v>
      </c>
      <c r="B5">
        <v>1.5663106328744845</v>
      </c>
      <c r="C5">
        <v>1.1511805711285612</v>
      </c>
    </row>
    <row r="20" spans="8:8" x14ac:dyDescent="0.25">
      <c r="H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2502-49B4-4715-B82C-C5A25D6B239A}">
  <dimension ref="A1:G27"/>
  <sheetViews>
    <sheetView tabSelected="1" workbookViewId="0">
      <selection activeCell="G18" sqref="G18"/>
    </sheetView>
  </sheetViews>
  <sheetFormatPr baseColWidth="10" defaultRowHeight="15" x14ac:dyDescent="0.25"/>
  <cols>
    <col min="1" max="1" width="26.7109375" bestFit="1" customWidth="1"/>
    <col min="2" max="2" width="20.28515625" bestFit="1" customWidth="1"/>
  </cols>
  <sheetData>
    <row r="1" spans="1:6" x14ac:dyDescent="0.25">
      <c r="A1" s="1" t="s">
        <v>0</v>
      </c>
      <c r="B1" s="1" t="s">
        <v>1</v>
      </c>
      <c r="C1" s="9" t="s">
        <v>18</v>
      </c>
    </row>
    <row r="2" spans="1:6" x14ac:dyDescent="0.25">
      <c r="A2" s="2" t="s">
        <v>2</v>
      </c>
      <c r="B2" s="3">
        <f>+'[7]NDC_10-25_morat'!S11</f>
        <v>0.65691619842857352</v>
      </c>
    </row>
    <row r="3" spans="1:6" x14ac:dyDescent="0.25">
      <c r="A3" s="2" t="s">
        <v>3</v>
      </c>
      <c r="B3" s="3">
        <f>+'[7]NDC_10-25_morat'!S15</f>
        <v>0.84066970570692801</v>
      </c>
    </row>
    <row r="4" spans="1:6" x14ac:dyDescent="0.25">
      <c r="A4" s="2" t="s">
        <v>4</v>
      </c>
      <c r="B4" s="3">
        <f>+'[7]NDC_10-25_morat'!S23</f>
        <v>3.5520398746368261E-2</v>
      </c>
    </row>
    <row r="5" spans="1:6" x14ac:dyDescent="0.25">
      <c r="A5" s="2" t="s">
        <v>5</v>
      </c>
      <c r="B5" s="3">
        <f>+'[7]NDC_10-25_morat'!B60</f>
        <v>0.18234941161999774</v>
      </c>
    </row>
    <row r="6" spans="1:6" x14ac:dyDescent="0.25">
      <c r="A6" s="2" t="s">
        <v>6</v>
      </c>
      <c r="B6" s="3">
        <f>+'[7]NDC_10-25_morat'!S24</f>
        <v>0.20660613134299652</v>
      </c>
    </row>
    <row r="7" spans="1:6" x14ac:dyDescent="0.25">
      <c r="A7" s="2" t="s">
        <v>7</v>
      </c>
      <c r="B7" s="3">
        <f>+'[7]NDC_10-25_morat'!S16</f>
        <v>0.62919165571360747</v>
      </c>
    </row>
    <row r="8" spans="1:6" x14ac:dyDescent="0.25">
      <c r="A8" s="2" t="s">
        <v>8</v>
      </c>
      <c r="B8" s="3">
        <f>+'[7]NDC_10-25_morat'!B62</f>
        <v>-0.78529600553545076</v>
      </c>
      <c r="E8" s="10"/>
    </row>
    <row r="9" spans="1:6" x14ac:dyDescent="0.25">
      <c r="A9" s="2" t="s">
        <v>9</v>
      </c>
      <c r="B9" s="3">
        <f>+'[7]NDC_10-25_morat'!B61</f>
        <v>-0.44399455599417648</v>
      </c>
    </row>
    <row r="10" spans="1:6" x14ac:dyDescent="0.25">
      <c r="A10" s="2" t="s">
        <v>10</v>
      </c>
      <c r="B10">
        <f>+'[7]NDC_10-25_morat'!B64</f>
        <v>12.939231022180321</v>
      </c>
    </row>
    <row r="11" spans="1:6" x14ac:dyDescent="0.25">
      <c r="A11" s="2" t="s">
        <v>11</v>
      </c>
      <c r="B11">
        <f>+'[7]NDC_10-25_morat'!B63</f>
        <v>21.348257018514083</v>
      </c>
      <c r="E11" s="10"/>
    </row>
    <row r="12" spans="1:6" x14ac:dyDescent="0.25">
      <c r="A12" s="2" t="s">
        <v>12</v>
      </c>
      <c r="B12">
        <v>30</v>
      </c>
    </row>
    <row r="13" spans="1:6" x14ac:dyDescent="0.25">
      <c r="A13" s="2" t="s">
        <v>86</v>
      </c>
      <c r="B13">
        <v>1.2500000000000001E-2</v>
      </c>
    </row>
    <row r="14" spans="1:6" x14ac:dyDescent="0.25">
      <c r="A14" s="2" t="s">
        <v>13</v>
      </c>
      <c r="B14">
        <v>1.2500000000000001E-2</v>
      </c>
    </row>
    <row r="15" spans="1:6" x14ac:dyDescent="0.25">
      <c r="A15" s="2" t="s">
        <v>84</v>
      </c>
      <c r="B15" s="4">
        <f>+'[7]NDC_10-25_morat'!Q43</f>
        <v>128439351452294.7</v>
      </c>
      <c r="F15" s="10"/>
    </row>
    <row r="16" spans="1:6" x14ac:dyDescent="0.25">
      <c r="A16" s="2" t="s">
        <v>87</v>
      </c>
      <c r="B16" s="11">
        <f>+[7]ndc_jub_sim!Q20</f>
        <v>296699.46922704665</v>
      </c>
    </row>
    <row r="17" spans="1:7" ht="17.25" x14ac:dyDescent="0.4">
      <c r="A17" s="2" t="s">
        <v>85</v>
      </c>
      <c r="B17" s="117">
        <f>+'[7]NDC_10-25'!S7</f>
        <v>0.41712499999999997</v>
      </c>
    </row>
    <row r="18" spans="1:7" x14ac:dyDescent="0.25">
      <c r="A18" s="2" t="s">
        <v>22</v>
      </c>
      <c r="B18">
        <f>+[7]ndc_jub_sim!B31</f>
        <v>18.933798886996101</v>
      </c>
      <c r="G18" s="10"/>
    </row>
    <row r="19" spans="1:7" x14ac:dyDescent="0.25">
      <c r="A19" s="2" t="s">
        <v>23</v>
      </c>
      <c r="B19" s="4">
        <f>+(B16/(0.11+0.17))*(1-0.11-0.03-0.03)</f>
        <v>879501.99806588807</v>
      </c>
    </row>
    <row r="20" spans="1:7" x14ac:dyDescent="0.25">
      <c r="A20" s="2" t="s">
        <v>24</v>
      </c>
      <c r="B20" s="4">
        <f>+[7]ndc_jub_sim!Q24</f>
        <v>65217207.22601302</v>
      </c>
    </row>
    <row r="21" spans="1:7" x14ac:dyDescent="0.25">
      <c r="A21" s="2" t="s">
        <v>83</v>
      </c>
      <c r="B21">
        <f>+[7]ndc_jub_sim!J24</f>
        <v>37341882.569183491</v>
      </c>
    </row>
    <row r="22" spans="1:7" x14ac:dyDescent="0.25">
      <c r="A22" s="2" t="s">
        <v>88</v>
      </c>
      <c r="B22">
        <f>+[7]edad_aportantes!H4</f>
        <v>41.342032140436629</v>
      </c>
    </row>
    <row r="27" spans="1:7" x14ac:dyDescent="0.25">
      <c r="E27" s="10"/>
    </row>
  </sheetData>
  <hyperlinks>
    <hyperlink ref="C1" location="Ref!A1" display="INDICE" xr:uid="{E65A0FD1-241C-4D7E-8D0A-E4BACF9DD172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BFE9-7B37-450F-B73F-8544BCBA1477}">
  <sheetPr>
    <tabColor theme="5"/>
  </sheetPr>
  <dimension ref="A1:Q107"/>
  <sheetViews>
    <sheetView workbookViewId="0">
      <pane ySplit="1" topLeftCell="A2" activePane="bottomLeft" state="frozen"/>
      <selection pane="bottomLeft" activeCell="B1" sqref="B1"/>
    </sheetView>
  </sheetViews>
  <sheetFormatPr baseColWidth="10" defaultRowHeight="15" x14ac:dyDescent="0.25"/>
  <cols>
    <col min="2" max="2" width="20.28515625" bestFit="1" customWidth="1"/>
  </cols>
  <sheetData>
    <row r="1" spans="1:17" x14ac:dyDescent="0.25">
      <c r="A1" s="5" t="s">
        <v>19</v>
      </c>
      <c r="B1" s="5">
        <v>2026</v>
      </c>
      <c r="C1" s="5">
        <v>2027</v>
      </c>
      <c r="D1" s="5">
        <v>2028</v>
      </c>
      <c r="E1" s="5">
        <v>2029</v>
      </c>
      <c r="F1" s="5">
        <v>2030</v>
      </c>
      <c r="G1" s="5">
        <v>2031</v>
      </c>
      <c r="H1" s="5">
        <v>2032</v>
      </c>
      <c r="I1" s="5">
        <v>2033</v>
      </c>
      <c r="J1" s="5">
        <v>2034</v>
      </c>
      <c r="K1" s="5">
        <v>2035</v>
      </c>
      <c r="L1" s="5">
        <v>2036</v>
      </c>
      <c r="M1" s="5">
        <v>2037</v>
      </c>
      <c r="N1" s="5">
        <v>2038</v>
      </c>
      <c r="O1" s="5">
        <v>2039</v>
      </c>
      <c r="P1" s="5">
        <v>2040</v>
      </c>
      <c r="Q1" s="6" t="s">
        <v>18</v>
      </c>
    </row>
    <row r="2" spans="1:17" x14ac:dyDescent="0.25">
      <c r="A2">
        <v>0</v>
      </c>
      <c r="B2">
        <v>460681.4</v>
      </c>
      <c r="C2">
        <v>446742.4</v>
      </c>
      <c r="D2">
        <v>437886.8</v>
      </c>
      <c r="E2">
        <v>432876.79999999999</v>
      </c>
      <c r="F2">
        <v>430383</v>
      </c>
      <c r="G2">
        <v>430856.8</v>
      </c>
      <c r="H2">
        <v>433946.2</v>
      </c>
      <c r="I2">
        <v>438833.2</v>
      </c>
      <c r="J2">
        <v>444838.8</v>
      </c>
      <c r="K2">
        <v>451344.6</v>
      </c>
      <c r="L2">
        <v>457656.2</v>
      </c>
      <c r="M2">
        <v>463569.4</v>
      </c>
      <c r="N2">
        <v>468868.8</v>
      </c>
      <c r="O2">
        <v>473348</v>
      </c>
      <c r="P2">
        <v>476834</v>
      </c>
    </row>
    <row r="3" spans="1:17" x14ac:dyDescent="0.25">
      <c r="A3">
        <v>1</v>
      </c>
      <c r="B3">
        <v>460681.4</v>
      </c>
      <c r="C3">
        <v>446742.4</v>
      </c>
      <c r="D3">
        <v>437886.8</v>
      </c>
      <c r="E3">
        <v>432876.79999999999</v>
      </c>
      <c r="F3">
        <v>430383</v>
      </c>
      <c r="G3">
        <v>430856.8</v>
      </c>
      <c r="H3">
        <v>433946.2</v>
      </c>
      <c r="I3">
        <v>438833.2</v>
      </c>
      <c r="J3">
        <v>444838.8</v>
      </c>
      <c r="K3">
        <v>451344.6</v>
      </c>
      <c r="L3">
        <v>457656.2</v>
      </c>
      <c r="M3">
        <v>463569.4</v>
      </c>
      <c r="N3">
        <v>468868.8</v>
      </c>
      <c r="O3">
        <v>473348</v>
      </c>
      <c r="P3">
        <v>476834</v>
      </c>
    </row>
    <row r="4" spans="1:17" x14ac:dyDescent="0.25">
      <c r="A4">
        <v>2</v>
      </c>
      <c r="B4">
        <v>460681.4</v>
      </c>
      <c r="C4">
        <v>446742.4</v>
      </c>
      <c r="D4">
        <v>437886.8</v>
      </c>
      <c r="E4">
        <v>432876.79999999999</v>
      </c>
      <c r="F4">
        <v>430383</v>
      </c>
      <c r="G4">
        <v>430856.8</v>
      </c>
      <c r="H4">
        <v>433946.2</v>
      </c>
      <c r="I4">
        <v>438833.2</v>
      </c>
      <c r="J4">
        <v>444838.8</v>
      </c>
      <c r="K4">
        <v>451344.6</v>
      </c>
      <c r="L4">
        <v>457656.2</v>
      </c>
      <c r="M4">
        <v>463569.4</v>
      </c>
      <c r="N4">
        <v>468868.8</v>
      </c>
      <c r="O4">
        <v>473348</v>
      </c>
      <c r="P4">
        <v>476834</v>
      </c>
    </row>
    <row r="5" spans="1:17" x14ac:dyDescent="0.25">
      <c r="A5">
        <v>3</v>
      </c>
      <c r="B5">
        <v>460681.4</v>
      </c>
      <c r="C5">
        <v>446742.4</v>
      </c>
      <c r="D5">
        <v>437886.8</v>
      </c>
      <c r="E5">
        <v>432876.79999999999</v>
      </c>
      <c r="F5">
        <v>430383</v>
      </c>
      <c r="G5">
        <v>430856.8</v>
      </c>
      <c r="H5">
        <v>433946.2</v>
      </c>
      <c r="I5">
        <v>438833.2</v>
      </c>
      <c r="J5">
        <v>444838.8</v>
      </c>
      <c r="K5">
        <v>451344.6</v>
      </c>
      <c r="L5">
        <v>457656.2</v>
      </c>
      <c r="M5">
        <v>463569.4</v>
      </c>
      <c r="N5">
        <v>468868.8</v>
      </c>
      <c r="O5">
        <v>473348</v>
      </c>
      <c r="P5">
        <v>476834</v>
      </c>
    </row>
    <row r="6" spans="1:17" x14ac:dyDescent="0.25">
      <c r="A6">
        <v>4</v>
      </c>
      <c r="B6">
        <v>460681.4</v>
      </c>
      <c r="C6">
        <v>446742.4</v>
      </c>
      <c r="D6">
        <v>437886.8</v>
      </c>
      <c r="E6">
        <v>432876.79999999999</v>
      </c>
      <c r="F6">
        <v>430383</v>
      </c>
      <c r="G6">
        <v>430856.8</v>
      </c>
      <c r="H6">
        <v>433946.2</v>
      </c>
      <c r="I6">
        <v>438833.2</v>
      </c>
      <c r="J6">
        <v>444838.8</v>
      </c>
      <c r="K6">
        <v>451344.6</v>
      </c>
      <c r="L6">
        <v>457656.2</v>
      </c>
      <c r="M6">
        <v>463569.4</v>
      </c>
      <c r="N6">
        <v>468868.8</v>
      </c>
      <c r="O6">
        <v>473348</v>
      </c>
      <c r="P6">
        <v>476834</v>
      </c>
    </row>
    <row r="7" spans="1:17" x14ac:dyDescent="0.25">
      <c r="A7">
        <v>5</v>
      </c>
      <c r="B7">
        <v>629855.6</v>
      </c>
      <c r="C7">
        <v>588340.19999999995</v>
      </c>
      <c r="D7">
        <v>545385.4</v>
      </c>
      <c r="E7">
        <v>507299.8</v>
      </c>
      <c r="F7">
        <v>480310.8</v>
      </c>
      <c r="G7">
        <v>461608.6</v>
      </c>
      <c r="H7">
        <v>447656.8</v>
      </c>
      <c r="I7">
        <v>438757.6</v>
      </c>
      <c r="J7">
        <v>433687</v>
      </c>
      <c r="K7">
        <v>431127.2</v>
      </c>
      <c r="L7">
        <v>431538.2</v>
      </c>
      <c r="M7">
        <v>434570.8</v>
      </c>
      <c r="N7">
        <v>439410.6</v>
      </c>
      <c r="O7">
        <v>445377.6</v>
      </c>
      <c r="P7">
        <v>451849.8</v>
      </c>
    </row>
    <row r="8" spans="1:17" x14ac:dyDescent="0.25">
      <c r="A8">
        <v>6</v>
      </c>
      <c r="B8">
        <v>629855.6</v>
      </c>
      <c r="C8">
        <v>588340.19999999995</v>
      </c>
      <c r="D8">
        <v>545385.4</v>
      </c>
      <c r="E8">
        <v>507299.8</v>
      </c>
      <c r="F8">
        <v>480310.8</v>
      </c>
      <c r="G8">
        <v>461608.6</v>
      </c>
      <c r="H8">
        <v>447656.8</v>
      </c>
      <c r="I8">
        <v>438757.6</v>
      </c>
      <c r="J8">
        <v>433687</v>
      </c>
      <c r="K8">
        <v>431127.2</v>
      </c>
      <c r="L8">
        <v>431538.2</v>
      </c>
      <c r="M8">
        <v>434570.8</v>
      </c>
      <c r="N8">
        <v>439410.6</v>
      </c>
      <c r="O8">
        <v>445377.6</v>
      </c>
      <c r="P8">
        <v>451849.8</v>
      </c>
    </row>
    <row r="9" spans="1:17" x14ac:dyDescent="0.25">
      <c r="A9">
        <v>7</v>
      </c>
      <c r="B9">
        <v>629855.6</v>
      </c>
      <c r="C9">
        <v>588340.19999999995</v>
      </c>
      <c r="D9">
        <v>545385.4</v>
      </c>
      <c r="E9">
        <v>507299.8</v>
      </c>
      <c r="F9">
        <v>480310.8</v>
      </c>
      <c r="G9">
        <v>461608.6</v>
      </c>
      <c r="H9">
        <v>447656.8</v>
      </c>
      <c r="I9">
        <v>438757.6</v>
      </c>
      <c r="J9">
        <v>433687</v>
      </c>
      <c r="K9">
        <v>431127.2</v>
      </c>
      <c r="L9">
        <v>431538.2</v>
      </c>
      <c r="M9">
        <v>434570.8</v>
      </c>
      <c r="N9">
        <v>439410.6</v>
      </c>
      <c r="O9">
        <v>445377.6</v>
      </c>
      <c r="P9">
        <v>451849.8</v>
      </c>
    </row>
    <row r="10" spans="1:17" x14ac:dyDescent="0.25">
      <c r="A10">
        <v>8</v>
      </c>
      <c r="B10">
        <v>629855.6</v>
      </c>
      <c r="C10">
        <v>588340.19999999995</v>
      </c>
      <c r="D10">
        <v>545385.4</v>
      </c>
      <c r="E10">
        <v>507299.8</v>
      </c>
      <c r="F10">
        <v>480310.8</v>
      </c>
      <c r="G10">
        <v>461608.6</v>
      </c>
      <c r="H10">
        <v>447656.8</v>
      </c>
      <c r="I10">
        <v>438757.6</v>
      </c>
      <c r="J10">
        <v>433687</v>
      </c>
      <c r="K10">
        <v>431127.2</v>
      </c>
      <c r="L10">
        <v>431538.2</v>
      </c>
      <c r="M10">
        <v>434570.8</v>
      </c>
      <c r="N10">
        <v>439410.6</v>
      </c>
      <c r="O10">
        <v>445377.6</v>
      </c>
      <c r="P10">
        <v>451849.8</v>
      </c>
    </row>
    <row r="11" spans="1:17" x14ac:dyDescent="0.25">
      <c r="A11">
        <v>9</v>
      </c>
      <c r="B11">
        <v>629855.6</v>
      </c>
      <c r="C11">
        <v>588340.19999999995</v>
      </c>
      <c r="D11">
        <v>545385.4</v>
      </c>
      <c r="E11">
        <v>507299.8</v>
      </c>
      <c r="F11">
        <v>480310.8</v>
      </c>
      <c r="G11">
        <v>461608.6</v>
      </c>
      <c r="H11">
        <v>447656.8</v>
      </c>
      <c r="I11">
        <v>438757.6</v>
      </c>
      <c r="J11">
        <v>433687</v>
      </c>
      <c r="K11">
        <v>431127.2</v>
      </c>
      <c r="L11">
        <v>431538.2</v>
      </c>
      <c r="M11">
        <v>434570.8</v>
      </c>
      <c r="N11">
        <v>439410.6</v>
      </c>
      <c r="O11">
        <v>445377.6</v>
      </c>
      <c r="P11">
        <v>451849.8</v>
      </c>
    </row>
    <row r="12" spans="1:17" x14ac:dyDescent="0.25">
      <c r="A12">
        <v>10</v>
      </c>
      <c r="B12">
        <v>756886.4</v>
      </c>
      <c r="C12">
        <v>748176.6</v>
      </c>
      <c r="D12">
        <v>734903</v>
      </c>
      <c r="E12">
        <v>709812.8</v>
      </c>
      <c r="F12">
        <v>672056.2</v>
      </c>
      <c r="G12">
        <v>630967.19999999995</v>
      </c>
      <c r="H12">
        <v>589445</v>
      </c>
      <c r="I12">
        <v>546462.6</v>
      </c>
      <c r="J12">
        <v>508333.6</v>
      </c>
      <c r="K12">
        <v>481290.8</v>
      </c>
      <c r="L12">
        <v>462532.6</v>
      </c>
      <c r="M12">
        <v>448532.8</v>
      </c>
      <c r="N12">
        <v>439591.8</v>
      </c>
      <c r="O12">
        <v>434486.6</v>
      </c>
      <c r="P12">
        <v>431896.4</v>
      </c>
    </row>
    <row r="13" spans="1:17" x14ac:dyDescent="0.25">
      <c r="A13">
        <v>11</v>
      </c>
      <c r="B13">
        <v>756886.4</v>
      </c>
      <c r="C13">
        <v>748176.6</v>
      </c>
      <c r="D13">
        <v>734903</v>
      </c>
      <c r="E13">
        <v>709812.8</v>
      </c>
      <c r="F13">
        <v>672056.2</v>
      </c>
      <c r="G13">
        <v>630967.19999999995</v>
      </c>
      <c r="H13">
        <v>589445</v>
      </c>
      <c r="I13">
        <v>546462.6</v>
      </c>
      <c r="J13">
        <v>508333.6</v>
      </c>
      <c r="K13">
        <v>481290.8</v>
      </c>
      <c r="L13">
        <v>462532.6</v>
      </c>
      <c r="M13">
        <v>448532.8</v>
      </c>
      <c r="N13">
        <v>439591.8</v>
      </c>
      <c r="O13">
        <v>434486.6</v>
      </c>
      <c r="P13" s="10">
        <v>431896.4</v>
      </c>
    </row>
    <row r="14" spans="1:17" x14ac:dyDescent="0.25">
      <c r="A14">
        <v>12</v>
      </c>
      <c r="B14">
        <v>756886.4</v>
      </c>
      <c r="C14">
        <v>748176.6</v>
      </c>
      <c r="D14">
        <v>734903</v>
      </c>
      <c r="E14">
        <v>709812.8</v>
      </c>
      <c r="F14">
        <v>672056.2</v>
      </c>
      <c r="G14">
        <v>630967.19999999995</v>
      </c>
      <c r="H14">
        <v>589445</v>
      </c>
      <c r="I14">
        <v>546462.6</v>
      </c>
      <c r="J14">
        <v>508333.6</v>
      </c>
      <c r="K14">
        <v>481290.8</v>
      </c>
      <c r="L14">
        <v>462532.6</v>
      </c>
      <c r="M14">
        <v>448532.8</v>
      </c>
      <c r="N14">
        <v>439591.8</v>
      </c>
      <c r="O14">
        <v>434486.6</v>
      </c>
      <c r="P14">
        <v>431896.4</v>
      </c>
    </row>
    <row r="15" spans="1:17" x14ac:dyDescent="0.25">
      <c r="A15">
        <v>13</v>
      </c>
      <c r="B15">
        <v>756886.4</v>
      </c>
      <c r="C15">
        <v>748176.6</v>
      </c>
      <c r="D15">
        <v>734903</v>
      </c>
      <c r="E15">
        <v>709812.8</v>
      </c>
      <c r="F15">
        <v>672056.2</v>
      </c>
      <c r="G15">
        <v>630967.19999999995</v>
      </c>
      <c r="H15">
        <v>589445</v>
      </c>
      <c r="I15">
        <v>546462.6</v>
      </c>
      <c r="J15">
        <v>508333.6</v>
      </c>
      <c r="K15">
        <v>481290.8</v>
      </c>
      <c r="L15">
        <v>462532.6</v>
      </c>
      <c r="M15">
        <v>448532.8</v>
      </c>
      <c r="N15">
        <v>439591.8</v>
      </c>
      <c r="O15">
        <v>434486.6</v>
      </c>
      <c r="P15">
        <v>431896.4</v>
      </c>
    </row>
    <row r="16" spans="1:17" x14ac:dyDescent="0.25">
      <c r="A16">
        <v>14</v>
      </c>
      <c r="B16">
        <v>756886.4</v>
      </c>
      <c r="C16">
        <v>748176.6</v>
      </c>
      <c r="D16">
        <v>734903</v>
      </c>
      <c r="E16">
        <v>709812.8</v>
      </c>
      <c r="F16">
        <v>672056.2</v>
      </c>
      <c r="G16">
        <v>630967.19999999995</v>
      </c>
      <c r="H16">
        <v>589445</v>
      </c>
      <c r="I16">
        <v>546462.6</v>
      </c>
      <c r="J16">
        <v>508333.6</v>
      </c>
      <c r="K16">
        <v>481290.8</v>
      </c>
      <c r="L16">
        <v>462532.6</v>
      </c>
      <c r="M16">
        <v>448532.8</v>
      </c>
      <c r="N16">
        <v>439591.8</v>
      </c>
      <c r="O16">
        <v>434486.6</v>
      </c>
      <c r="P16">
        <v>431896.4</v>
      </c>
    </row>
    <row r="17" spans="1:16" x14ac:dyDescent="0.25">
      <c r="A17">
        <v>15</v>
      </c>
      <c r="B17">
        <v>743278.4</v>
      </c>
      <c r="C17">
        <v>749672.4</v>
      </c>
      <c r="D17">
        <v>753744.2</v>
      </c>
      <c r="E17">
        <v>758156.80000000005</v>
      </c>
      <c r="F17">
        <v>761787</v>
      </c>
      <c r="G17">
        <v>758165.8</v>
      </c>
      <c r="H17">
        <v>749405.2</v>
      </c>
      <c r="I17">
        <v>736059.2</v>
      </c>
      <c r="J17">
        <v>710901.6</v>
      </c>
      <c r="K17">
        <v>673092.8</v>
      </c>
      <c r="L17">
        <v>631963</v>
      </c>
      <c r="M17">
        <v>590419.4</v>
      </c>
      <c r="N17">
        <v>547440.80000000005</v>
      </c>
      <c r="O17">
        <v>509325.4</v>
      </c>
      <c r="P17">
        <v>482282</v>
      </c>
    </row>
    <row r="18" spans="1:16" x14ac:dyDescent="0.25">
      <c r="A18">
        <v>16</v>
      </c>
      <c r="B18">
        <v>743278.4</v>
      </c>
      <c r="C18">
        <v>749672.4</v>
      </c>
      <c r="D18">
        <v>753744.2</v>
      </c>
      <c r="E18">
        <v>758156.80000000005</v>
      </c>
      <c r="F18">
        <v>761787</v>
      </c>
      <c r="G18">
        <v>758165.8</v>
      </c>
      <c r="H18">
        <v>749405.2</v>
      </c>
      <c r="I18">
        <v>736059.2</v>
      </c>
      <c r="J18">
        <v>710901.6</v>
      </c>
      <c r="K18">
        <v>673092.8</v>
      </c>
      <c r="L18">
        <v>631963</v>
      </c>
      <c r="M18">
        <v>590419.4</v>
      </c>
      <c r="N18">
        <v>547440.80000000005</v>
      </c>
      <c r="O18">
        <v>509325.4</v>
      </c>
      <c r="P18">
        <v>482282</v>
      </c>
    </row>
    <row r="19" spans="1:16" x14ac:dyDescent="0.25">
      <c r="A19">
        <v>17</v>
      </c>
      <c r="B19">
        <v>743278.4</v>
      </c>
      <c r="C19">
        <v>749672.4</v>
      </c>
      <c r="D19">
        <v>753744.2</v>
      </c>
      <c r="E19">
        <v>758156.80000000005</v>
      </c>
      <c r="F19">
        <v>761787</v>
      </c>
      <c r="G19">
        <v>758165.8</v>
      </c>
      <c r="H19">
        <v>749405.2</v>
      </c>
      <c r="I19">
        <v>736059.2</v>
      </c>
      <c r="J19">
        <v>710901.6</v>
      </c>
      <c r="K19">
        <v>673092.8</v>
      </c>
      <c r="L19">
        <v>631963</v>
      </c>
      <c r="M19">
        <v>590419.4</v>
      </c>
      <c r="N19">
        <v>547440.80000000005</v>
      </c>
      <c r="O19">
        <v>509325.4</v>
      </c>
      <c r="P19">
        <v>482282</v>
      </c>
    </row>
    <row r="20" spans="1:16" x14ac:dyDescent="0.25">
      <c r="A20">
        <v>18</v>
      </c>
      <c r="B20">
        <v>743278.4</v>
      </c>
      <c r="C20">
        <v>749672.4</v>
      </c>
      <c r="D20">
        <v>753744.2</v>
      </c>
      <c r="E20">
        <v>758156.80000000005</v>
      </c>
      <c r="F20">
        <v>761787</v>
      </c>
      <c r="G20">
        <v>758165.8</v>
      </c>
      <c r="H20">
        <v>749405.2</v>
      </c>
      <c r="I20">
        <v>736059.2</v>
      </c>
      <c r="J20">
        <v>710901.6</v>
      </c>
      <c r="K20">
        <v>673092.8</v>
      </c>
      <c r="L20">
        <v>631963</v>
      </c>
      <c r="M20">
        <v>590419.4</v>
      </c>
      <c r="N20">
        <v>547440.80000000005</v>
      </c>
      <c r="O20">
        <v>509325.4</v>
      </c>
      <c r="P20">
        <v>482282</v>
      </c>
    </row>
    <row r="21" spans="1:16" x14ac:dyDescent="0.25">
      <c r="A21">
        <v>19</v>
      </c>
      <c r="B21">
        <v>743278.4</v>
      </c>
      <c r="C21">
        <v>749672.4</v>
      </c>
      <c r="D21">
        <v>753744.2</v>
      </c>
      <c r="E21">
        <v>758156.80000000005</v>
      </c>
      <c r="F21">
        <v>761787</v>
      </c>
      <c r="G21">
        <v>758165.8</v>
      </c>
      <c r="H21">
        <v>749405.2</v>
      </c>
      <c r="I21">
        <v>736059.2</v>
      </c>
      <c r="J21">
        <v>710901.6</v>
      </c>
      <c r="K21">
        <v>673092.8</v>
      </c>
      <c r="L21">
        <v>631963</v>
      </c>
      <c r="M21">
        <v>590419.4</v>
      </c>
      <c r="N21">
        <v>547440.80000000005</v>
      </c>
      <c r="O21">
        <v>509325.4</v>
      </c>
      <c r="P21">
        <v>482282</v>
      </c>
    </row>
    <row r="22" spans="1:16" x14ac:dyDescent="0.25">
      <c r="A22">
        <v>20</v>
      </c>
      <c r="B22">
        <v>726642.2</v>
      </c>
      <c r="C22">
        <v>726562.2</v>
      </c>
      <c r="D22">
        <v>729359.2</v>
      </c>
      <c r="E22">
        <v>733422</v>
      </c>
      <c r="F22">
        <v>737088.8</v>
      </c>
      <c r="G22">
        <v>743012.2</v>
      </c>
      <c r="H22">
        <v>749371.8</v>
      </c>
      <c r="I22">
        <v>753381.2</v>
      </c>
      <c r="J22">
        <v>757713.2</v>
      </c>
      <c r="K22">
        <v>761258.8</v>
      </c>
      <c r="L22">
        <v>757574.2</v>
      </c>
      <c r="M22">
        <v>748775.2</v>
      </c>
      <c r="N22">
        <v>735419.8</v>
      </c>
      <c r="O22">
        <v>710302.4</v>
      </c>
      <c r="P22">
        <v>672582</v>
      </c>
    </row>
    <row r="23" spans="1:16" x14ac:dyDescent="0.25">
      <c r="A23">
        <v>21</v>
      </c>
      <c r="B23">
        <v>726642.2</v>
      </c>
      <c r="C23">
        <v>726562.2</v>
      </c>
      <c r="D23">
        <v>729359.2</v>
      </c>
      <c r="E23">
        <v>733422</v>
      </c>
      <c r="F23">
        <v>737088.8</v>
      </c>
      <c r="G23">
        <v>743012.2</v>
      </c>
      <c r="H23">
        <v>749371.8</v>
      </c>
      <c r="I23">
        <v>753381.2</v>
      </c>
      <c r="J23">
        <v>757713.2</v>
      </c>
      <c r="K23">
        <v>761258.8</v>
      </c>
      <c r="L23">
        <v>757574.2</v>
      </c>
      <c r="M23">
        <v>748775.2</v>
      </c>
      <c r="N23">
        <v>735419.8</v>
      </c>
      <c r="O23">
        <v>710302.4</v>
      </c>
      <c r="P23">
        <v>672582</v>
      </c>
    </row>
    <row r="24" spans="1:16" x14ac:dyDescent="0.25">
      <c r="A24">
        <v>22</v>
      </c>
      <c r="B24">
        <v>726642.2</v>
      </c>
      <c r="C24">
        <v>726562.2</v>
      </c>
      <c r="D24">
        <v>729359.2</v>
      </c>
      <c r="E24">
        <v>733422</v>
      </c>
      <c r="F24">
        <v>737088.8</v>
      </c>
      <c r="G24">
        <v>743012.2</v>
      </c>
      <c r="H24">
        <v>749371.8</v>
      </c>
      <c r="I24">
        <v>753381.2</v>
      </c>
      <c r="J24">
        <v>757713.2</v>
      </c>
      <c r="K24">
        <v>761258.8</v>
      </c>
      <c r="L24">
        <v>757574.2</v>
      </c>
      <c r="M24">
        <v>748775.2</v>
      </c>
      <c r="N24">
        <v>735419.8</v>
      </c>
      <c r="O24">
        <v>710302.4</v>
      </c>
      <c r="P24">
        <v>672582</v>
      </c>
    </row>
    <row r="25" spans="1:16" x14ac:dyDescent="0.25">
      <c r="A25">
        <v>23</v>
      </c>
      <c r="B25">
        <v>726642.2</v>
      </c>
      <c r="C25">
        <v>726562.2</v>
      </c>
      <c r="D25">
        <v>729359.2</v>
      </c>
      <c r="E25">
        <v>733422</v>
      </c>
      <c r="F25">
        <v>737088.8</v>
      </c>
      <c r="G25">
        <v>743012.2</v>
      </c>
      <c r="H25">
        <v>749371.8</v>
      </c>
      <c r="I25">
        <v>753381.2</v>
      </c>
      <c r="J25">
        <v>757713.2</v>
      </c>
      <c r="K25">
        <v>761258.8</v>
      </c>
      <c r="L25">
        <v>757574.2</v>
      </c>
      <c r="M25">
        <v>748775.2</v>
      </c>
      <c r="N25">
        <v>735419.8</v>
      </c>
      <c r="O25">
        <v>710302.4</v>
      </c>
      <c r="P25">
        <v>672582</v>
      </c>
    </row>
    <row r="26" spans="1:16" x14ac:dyDescent="0.25">
      <c r="A26">
        <v>24</v>
      </c>
      <c r="B26">
        <v>726642.2</v>
      </c>
      <c r="C26">
        <v>726562.2</v>
      </c>
      <c r="D26">
        <v>729359.2</v>
      </c>
      <c r="E26">
        <v>733422</v>
      </c>
      <c r="F26">
        <v>737088.8</v>
      </c>
      <c r="G26">
        <v>743012.2</v>
      </c>
      <c r="H26">
        <v>749371.8</v>
      </c>
      <c r="I26">
        <v>753381.2</v>
      </c>
      <c r="J26">
        <v>757713.2</v>
      </c>
      <c r="K26">
        <v>761258.8</v>
      </c>
      <c r="L26">
        <v>757574.2</v>
      </c>
      <c r="M26">
        <v>748775.2</v>
      </c>
      <c r="N26">
        <v>735419.8</v>
      </c>
      <c r="O26">
        <v>710302.4</v>
      </c>
      <c r="P26">
        <v>672582</v>
      </c>
    </row>
    <row r="27" spans="1:16" x14ac:dyDescent="0.25">
      <c r="A27">
        <v>25</v>
      </c>
      <c r="B27">
        <v>711787.8</v>
      </c>
      <c r="C27">
        <v>712872.2</v>
      </c>
      <c r="D27">
        <v>714014.4</v>
      </c>
      <c r="E27">
        <v>716758.6</v>
      </c>
      <c r="F27">
        <v>720473.4</v>
      </c>
      <c r="G27">
        <v>722289</v>
      </c>
      <c r="H27">
        <v>722343.2</v>
      </c>
      <c r="I27">
        <v>725219</v>
      </c>
      <c r="J27">
        <v>729347.8</v>
      </c>
      <c r="K27">
        <v>733083.8</v>
      </c>
      <c r="L27">
        <v>739068.2</v>
      </c>
      <c r="M27">
        <v>745479.2</v>
      </c>
      <c r="N27">
        <v>749541</v>
      </c>
      <c r="O27">
        <v>753921.6</v>
      </c>
      <c r="P27">
        <v>757523.4</v>
      </c>
    </row>
    <row r="28" spans="1:16" x14ac:dyDescent="0.25">
      <c r="A28">
        <v>26</v>
      </c>
      <c r="B28">
        <v>711787.8</v>
      </c>
      <c r="C28">
        <v>712872.2</v>
      </c>
      <c r="D28">
        <v>714014.4</v>
      </c>
      <c r="E28">
        <v>716758.6</v>
      </c>
      <c r="F28">
        <v>720473.4</v>
      </c>
      <c r="G28">
        <v>722289</v>
      </c>
      <c r="H28">
        <v>722343.2</v>
      </c>
      <c r="I28">
        <v>725219</v>
      </c>
      <c r="J28">
        <v>729347.8</v>
      </c>
      <c r="K28">
        <v>733083.8</v>
      </c>
      <c r="L28">
        <v>739068.2</v>
      </c>
      <c r="M28">
        <v>745479.2</v>
      </c>
      <c r="N28">
        <v>749541</v>
      </c>
      <c r="O28">
        <v>753921.6</v>
      </c>
      <c r="P28">
        <v>757523.4</v>
      </c>
    </row>
    <row r="29" spans="1:16" x14ac:dyDescent="0.25">
      <c r="A29">
        <v>27</v>
      </c>
      <c r="B29">
        <v>711787.8</v>
      </c>
      <c r="C29">
        <v>712872.2</v>
      </c>
      <c r="D29">
        <v>714014.4</v>
      </c>
      <c r="E29">
        <v>716758.6</v>
      </c>
      <c r="F29">
        <v>720473.4</v>
      </c>
      <c r="G29">
        <v>722289</v>
      </c>
      <c r="H29">
        <v>722343.2</v>
      </c>
      <c r="I29">
        <v>725219</v>
      </c>
      <c r="J29">
        <v>729347.8</v>
      </c>
      <c r="K29">
        <v>733083.8</v>
      </c>
      <c r="L29">
        <v>739068.2</v>
      </c>
      <c r="M29">
        <v>745479.2</v>
      </c>
      <c r="N29">
        <v>749541</v>
      </c>
      <c r="O29">
        <v>753921.6</v>
      </c>
      <c r="P29">
        <v>757523.4</v>
      </c>
    </row>
    <row r="30" spans="1:16" x14ac:dyDescent="0.25">
      <c r="A30">
        <v>28</v>
      </c>
      <c r="B30">
        <v>711787.8</v>
      </c>
      <c r="C30">
        <v>712872.2</v>
      </c>
      <c r="D30">
        <v>714014.4</v>
      </c>
      <c r="E30">
        <v>716758.6</v>
      </c>
      <c r="F30">
        <v>720473.4</v>
      </c>
      <c r="G30">
        <v>722289</v>
      </c>
      <c r="H30">
        <v>722343.2</v>
      </c>
      <c r="I30">
        <v>725219</v>
      </c>
      <c r="J30">
        <v>729347.8</v>
      </c>
      <c r="K30">
        <v>733083.8</v>
      </c>
      <c r="L30">
        <v>739068.2</v>
      </c>
      <c r="M30">
        <v>745479.2</v>
      </c>
      <c r="N30">
        <v>749541</v>
      </c>
      <c r="O30">
        <v>753921.6</v>
      </c>
      <c r="P30">
        <v>757523.4</v>
      </c>
    </row>
    <row r="31" spans="1:16" x14ac:dyDescent="0.25">
      <c r="A31">
        <v>29</v>
      </c>
      <c r="B31">
        <v>711787.8</v>
      </c>
      <c r="C31">
        <v>712872.2</v>
      </c>
      <c r="D31">
        <v>714014.4</v>
      </c>
      <c r="E31">
        <v>716758.6</v>
      </c>
      <c r="F31">
        <v>720473.4</v>
      </c>
      <c r="G31">
        <v>722289</v>
      </c>
      <c r="H31">
        <v>722343.2</v>
      </c>
      <c r="I31">
        <v>725219</v>
      </c>
      <c r="J31">
        <v>729347.8</v>
      </c>
      <c r="K31">
        <v>733083.8</v>
      </c>
      <c r="L31">
        <v>739068.2</v>
      </c>
      <c r="M31">
        <v>745479.2</v>
      </c>
      <c r="N31">
        <v>749541</v>
      </c>
      <c r="O31">
        <v>753921.6</v>
      </c>
      <c r="P31">
        <v>757523.4</v>
      </c>
    </row>
    <row r="32" spans="1:16" x14ac:dyDescent="0.25">
      <c r="A32">
        <v>30</v>
      </c>
      <c r="B32">
        <v>706245.6</v>
      </c>
      <c r="C32">
        <v>705687</v>
      </c>
      <c r="D32">
        <v>705220</v>
      </c>
      <c r="E32">
        <v>705312.6</v>
      </c>
      <c r="F32">
        <v>705533.6</v>
      </c>
      <c r="G32">
        <v>706016.8</v>
      </c>
      <c r="H32">
        <v>707293</v>
      </c>
      <c r="I32">
        <v>708560.8</v>
      </c>
      <c r="J32">
        <v>711409.4</v>
      </c>
      <c r="K32">
        <v>715237</v>
      </c>
      <c r="L32">
        <v>717180.6</v>
      </c>
      <c r="M32">
        <v>717366.6</v>
      </c>
      <c r="N32">
        <v>720350.8</v>
      </c>
      <c r="O32">
        <v>724569.4</v>
      </c>
      <c r="P32">
        <v>728389.4</v>
      </c>
    </row>
    <row r="33" spans="1:16" x14ac:dyDescent="0.25">
      <c r="A33">
        <v>31</v>
      </c>
      <c r="B33">
        <v>706245.6</v>
      </c>
      <c r="C33">
        <v>705687</v>
      </c>
      <c r="D33">
        <v>705220</v>
      </c>
      <c r="E33">
        <v>705312.6</v>
      </c>
      <c r="F33">
        <v>705533.6</v>
      </c>
      <c r="G33">
        <v>706016.8</v>
      </c>
      <c r="H33">
        <v>707293</v>
      </c>
      <c r="I33">
        <v>708560.8</v>
      </c>
      <c r="J33">
        <v>711409.4</v>
      </c>
      <c r="K33">
        <v>715237</v>
      </c>
      <c r="L33">
        <v>717180.6</v>
      </c>
      <c r="M33">
        <v>717366.6</v>
      </c>
      <c r="N33">
        <v>720350.8</v>
      </c>
      <c r="O33">
        <v>724569.4</v>
      </c>
      <c r="P33">
        <v>728389.4</v>
      </c>
    </row>
    <row r="34" spans="1:16" x14ac:dyDescent="0.25">
      <c r="A34">
        <v>32</v>
      </c>
      <c r="B34">
        <v>706245.6</v>
      </c>
      <c r="C34">
        <v>705687</v>
      </c>
      <c r="D34">
        <v>705220</v>
      </c>
      <c r="E34">
        <v>705312.6</v>
      </c>
      <c r="F34">
        <v>705533.6</v>
      </c>
      <c r="G34">
        <v>706016.8</v>
      </c>
      <c r="H34">
        <v>707293</v>
      </c>
      <c r="I34">
        <v>708560.8</v>
      </c>
      <c r="J34">
        <v>711409.4</v>
      </c>
      <c r="K34">
        <v>715237</v>
      </c>
      <c r="L34">
        <v>717180.6</v>
      </c>
      <c r="M34">
        <v>717366.6</v>
      </c>
      <c r="N34">
        <v>720350.8</v>
      </c>
      <c r="O34">
        <v>724569.4</v>
      </c>
      <c r="P34">
        <v>728389.4</v>
      </c>
    </row>
    <row r="35" spans="1:16" x14ac:dyDescent="0.25">
      <c r="A35">
        <v>33</v>
      </c>
      <c r="B35">
        <v>706245.6</v>
      </c>
      <c r="C35">
        <v>705687</v>
      </c>
      <c r="D35">
        <v>705220</v>
      </c>
      <c r="E35">
        <v>705312.6</v>
      </c>
      <c r="F35">
        <v>705533.6</v>
      </c>
      <c r="G35">
        <v>706016.8</v>
      </c>
      <c r="H35">
        <v>707293</v>
      </c>
      <c r="I35">
        <v>708560.8</v>
      </c>
      <c r="J35">
        <v>711409.4</v>
      </c>
      <c r="K35">
        <v>715237</v>
      </c>
      <c r="L35">
        <v>717180.6</v>
      </c>
      <c r="M35">
        <v>717366.6</v>
      </c>
      <c r="N35">
        <v>720350.8</v>
      </c>
      <c r="O35">
        <v>724569.4</v>
      </c>
      <c r="P35">
        <v>728389.4</v>
      </c>
    </row>
    <row r="36" spans="1:16" x14ac:dyDescent="0.25">
      <c r="A36">
        <v>34</v>
      </c>
      <c r="B36">
        <v>706245.6</v>
      </c>
      <c r="C36">
        <v>705687</v>
      </c>
      <c r="D36">
        <v>705220</v>
      </c>
      <c r="E36">
        <v>705312.6</v>
      </c>
      <c r="F36">
        <v>705533.6</v>
      </c>
      <c r="G36">
        <v>706016.8</v>
      </c>
      <c r="H36">
        <v>707293</v>
      </c>
      <c r="I36">
        <v>708560.8</v>
      </c>
      <c r="J36">
        <v>711409.4</v>
      </c>
      <c r="K36">
        <v>715237</v>
      </c>
      <c r="L36">
        <v>717180.6</v>
      </c>
      <c r="M36">
        <v>717366.6</v>
      </c>
      <c r="N36">
        <v>720350.8</v>
      </c>
      <c r="O36">
        <v>724569.4</v>
      </c>
      <c r="P36">
        <v>728389.4</v>
      </c>
    </row>
    <row r="37" spans="1:16" x14ac:dyDescent="0.25">
      <c r="A37">
        <v>35</v>
      </c>
      <c r="B37">
        <v>683128.8</v>
      </c>
      <c r="C37">
        <v>690754.8</v>
      </c>
      <c r="D37">
        <v>696319.4</v>
      </c>
      <c r="E37">
        <v>699597.2</v>
      </c>
      <c r="F37">
        <v>701146</v>
      </c>
      <c r="G37">
        <v>701470.8</v>
      </c>
      <c r="H37">
        <v>701049.8</v>
      </c>
      <c r="I37">
        <v>700669.4</v>
      </c>
      <c r="J37">
        <v>700832</v>
      </c>
      <c r="K37">
        <v>701127.8</v>
      </c>
      <c r="L37">
        <v>701692.2</v>
      </c>
      <c r="M37">
        <v>703047.2</v>
      </c>
      <c r="N37">
        <v>704390.6</v>
      </c>
      <c r="O37">
        <v>707303.2</v>
      </c>
      <c r="P37">
        <v>711183.6</v>
      </c>
    </row>
    <row r="38" spans="1:16" x14ac:dyDescent="0.25">
      <c r="A38">
        <v>36</v>
      </c>
      <c r="B38">
        <v>683128.8</v>
      </c>
      <c r="C38">
        <v>690754.8</v>
      </c>
      <c r="D38">
        <v>696319.4</v>
      </c>
      <c r="E38">
        <v>699597.2</v>
      </c>
      <c r="F38">
        <v>701146</v>
      </c>
      <c r="G38">
        <v>701470.8</v>
      </c>
      <c r="H38">
        <v>701049.8</v>
      </c>
      <c r="I38">
        <v>700669.4</v>
      </c>
      <c r="J38">
        <v>700832</v>
      </c>
      <c r="K38">
        <v>701127.8</v>
      </c>
      <c r="L38">
        <v>701692.2</v>
      </c>
      <c r="M38">
        <v>703047.2</v>
      </c>
      <c r="N38">
        <v>704390.6</v>
      </c>
      <c r="O38">
        <v>707303.2</v>
      </c>
      <c r="P38">
        <v>711183.6</v>
      </c>
    </row>
    <row r="39" spans="1:16" x14ac:dyDescent="0.25">
      <c r="A39">
        <v>37</v>
      </c>
      <c r="B39">
        <v>683128.8</v>
      </c>
      <c r="C39">
        <v>690754.8</v>
      </c>
      <c r="D39">
        <v>696319.4</v>
      </c>
      <c r="E39">
        <v>699597.2</v>
      </c>
      <c r="F39">
        <v>701146</v>
      </c>
      <c r="G39">
        <v>701470.8</v>
      </c>
      <c r="H39">
        <v>701049.8</v>
      </c>
      <c r="I39">
        <v>700669.4</v>
      </c>
      <c r="J39">
        <v>700832</v>
      </c>
      <c r="K39">
        <v>701127.8</v>
      </c>
      <c r="L39">
        <v>701692.2</v>
      </c>
      <c r="M39">
        <v>703047.2</v>
      </c>
      <c r="N39">
        <v>704390.6</v>
      </c>
      <c r="O39">
        <v>707303.2</v>
      </c>
      <c r="P39">
        <v>711183.6</v>
      </c>
    </row>
    <row r="40" spans="1:16" x14ac:dyDescent="0.25">
      <c r="A40">
        <v>38</v>
      </c>
      <c r="B40">
        <v>683128.8</v>
      </c>
      <c r="C40">
        <v>690754.8</v>
      </c>
      <c r="D40">
        <v>696319.4</v>
      </c>
      <c r="E40">
        <v>699597.2</v>
      </c>
      <c r="F40">
        <v>701146</v>
      </c>
      <c r="G40">
        <v>701470.8</v>
      </c>
      <c r="H40">
        <v>701049.8</v>
      </c>
      <c r="I40">
        <v>700669.4</v>
      </c>
      <c r="J40">
        <v>700832</v>
      </c>
      <c r="K40">
        <v>701127.8</v>
      </c>
      <c r="L40">
        <v>701692.2</v>
      </c>
      <c r="M40">
        <v>703047.2</v>
      </c>
      <c r="N40">
        <v>704390.6</v>
      </c>
      <c r="O40">
        <v>707303.2</v>
      </c>
      <c r="P40">
        <v>711183.6</v>
      </c>
    </row>
    <row r="41" spans="1:16" x14ac:dyDescent="0.25">
      <c r="A41">
        <v>39</v>
      </c>
      <c r="B41">
        <v>683128.8</v>
      </c>
      <c r="C41">
        <v>690754.8</v>
      </c>
      <c r="D41">
        <v>696319.4</v>
      </c>
      <c r="E41">
        <v>699597.2</v>
      </c>
      <c r="F41">
        <v>701146</v>
      </c>
      <c r="G41">
        <v>701470.8</v>
      </c>
      <c r="H41">
        <v>701049.8</v>
      </c>
      <c r="I41">
        <v>700669.4</v>
      </c>
      <c r="J41">
        <v>700832</v>
      </c>
      <c r="K41">
        <v>701127.8</v>
      </c>
      <c r="L41">
        <v>701692.2</v>
      </c>
      <c r="M41">
        <v>703047.2</v>
      </c>
      <c r="N41">
        <v>704390.6</v>
      </c>
      <c r="O41">
        <v>707303.2</v>
      </c>
      <c r="P41">
        <v>711183.6</v>
      </c>
    </row>
    <row r="42" spans="1:16" x14ac:dyDescent="0.25">
      <c r="A42">
        <v>40</v>
      </c>
      <c r="B42">
        <v>637048.19999999995</v>
      </c>
      <c r="C42">
        <v>641636.80000000005</v>
      </c>
      <c r="D42">
        <v>649691.80000000005</v>
      </c>
      <c r="E42">
        <v>659486.19999999995</v>
      </c>
      <c r="F42">
        <v>669132.6</v>
      </c>
      <c r="G42">
        <v>677957.2</v>
      </c>
      <c r="H42">
        <v>685640.6</v>
      </c>
      <c r="I42">
        <v>691243.2</v>
      </c>
      <c r="J42">
        <v>694564.2</v>
      </c>
      <c r="K42">
        <v>696170.4</v>
      </c>
      <c r="L42">
        <v>696565.8</v>
      </c>
      <c r="M42">
        <v>696222.2</v>
      </c>
      <c r="N42">
        <v>695918.2</v>
      </c>
      <c r="O42">
        <v>696151.8</v>
      </c>
      <c r="P42">
        <v>696516.4</v>
      </c>
    </row>
    <row r="43" spans="1:16" x14ac:dyDescent="0.25">
      <c r="A43">
        <v>41</v>
      </c>
      <c r="B43">
        <v>637048.19999999995</v>
      </c>
      <c r="C43">
        <v>641636.80000000005</v>
      </c>
      <c r="D43">
        <v>649691.80000000005</v>
      </c>
      <c r="E43">
        <v>659486.19999999995</v>
      </c>
      <c r="F43">
        <v>669132.6</v>
      </c>
      <c r="G43">
        <v>677957.2</v>
      </c>
      <c r="H43">
        <v>685640.6</v>
      </c>
      <c r="I43">
        <v>691243.2</v>
      </c>
      <c r="J43">
        <v>694564.2</v>
      </c>
      <c r="K43">
        <v>696170.4</v>
      </c>
      <c r="L43">
        <v>696565.8</v>
      </c>
      <c r="M43">
        <v>696222.2</v>
      </c>
      <c r="N43">
        <v>695918.2</v>
      </c>
      <c r="O43">
        <v>696151.8</v>
      </c>
      <c r="P43">
        <v>696516.4</v>
      </c>
    </row>
    <row r="44" spans="1:16" x14ac:dyDescent="0.25">
      <c r="A44">
        <v>42</v>
      </c>
      <c r="B44">
        <v>637048.19999999995</v>
      </c>
      <c r="C44">
        <v>641636.80000000005</v>
      </c>
      <c r="D44">
        <v>649691.80000000005</v>
      </c>
      <c r="E44">
        <v>659486.19999999995</v>
      </c>
      <c r="F44">
        <v>669132.6</v>
      </c>
      <c r="G44">
        <v>677957.2</v>
      </c>
      <c r="H44">
        <v>685640.6</v>
      </c>
      <c r="I44">
        <v>691243.2</v>
      </c>
      <c r="J44">
        <v>694564.2</v>
      </c>
      <c r="K44">
        <v>696170.4</v>
      </c>
      <c r="L44">
        <v>696565.8</v>
      </c>
      <c r="M44">
        <v>696222.2</v>
      </c>
      <c r="N44">
        <v>695918.2</v>
      </c>
      <c r="O44">
        <v>696151.8</v>
      </c>
      <c r="P44">
        <v>696516.4</v>
      </c>
    </row>
    <row r="45" spans="1:16" x14ac:dyDescent="0.25">
      <c r="A45">
        <v>43</v>
      </c>
      <c r="B45">
        <v>637048.19999999995</v>
      </c>
      <c r="C45">
        <v>641636.80000000005</v>
      </c>
      <c r="D45">
        <v>649691.80000000005</v>
      </c>
      <c r="E45">
        <v>659486.19999999995</v>
      </c>
      <c r="F45">
        <v>669132.6</v>
      </c>
      <c r="G45">
        <v>677957.2</v>
      </c>
      <c r="H45">
        <v>685640.6</v>
      </c>
      <c r="I45">
        <v>691243.2</v>
      </c>
      <c r="J45">
        <v>694564.2</v>
      </c>
      <c r="K45">
        <v>696170.4</v>
      </c>
      <c r="L45">
        <v>696565.8</v>
      </c>
      <c r="M45">
        <v>696222.2</v>
      </c>
      <c r="N45">
        <v>695918.2</v>
      </c>
      <c r="O45">
        <v>696151.8</v>
      </c>
      <c r="P45">
        <v>696516.4</v>
      </c>
    </row>
    <row r="46" spans="1:16" x14ac:dyDescent="0.25">
      <c r="A46">
        <v>44</v>
      </c>
      <c r="B46">
        <v>637048.19999999995</v>
      </c>
      <c r="C46">
        <v>641636.80000000005</v>
      </c>
      <c r="D46">
        <v>649691.80000000005</v>
      </c>
      <c r="E46">
        <v>659486.19999999995</v>
      </c>
      <c r="F46">
        <v>669132.6</v>
      </c>
      <c r="G46">
        <v>677957.2</v>
      </c>
      <c r="H46">
        <v>685640.6</v>
      </c>
      <c r="I46">
        <v>691243.2</v>
      </c>
      <c r="J46">
        <v>694564.2</v>
      </c>
      <c r="K46">
        <v>696170.4</v>
      </c>
      <c r="L46">
        <v>696565.8</v>
      </c>
      <c r="M46">
        <v>696222.2</v>
      </c>
      <c r="N46">
        <v>695918.2</v>
      </c>
      <c r="O46">
        <v>696151.8</v>
      </c>
      <c r="P46">
        <v>696516.4</v>
      </c>
    </row>
    <row r="47" spans="1:16" x14ac:dyDescent="0.25">
      <c r="A47">
        <v>45</v>
      </c>
      <c r="B47">
        <v>640346.6</v>
      </c>
      <c r="C47">
        <v>641408.80000000005</v>
      </c>
      <c r="D47">
        <v>637300.6</v>
      </c>
      <c r="E47">
        <v>631939.6</v>
      </c>
      <c r="F47">
        <v>629243</v>
      </c>
      <c r="G47">
        <v>630268.80000000005</v>
      </c>
      <c r="H47">
        <v>634938</v>
      </c>
      <c r="I47">
        <v>643011.4</v>
      </c>
      <c r="J47">
        <v>652798.19999999995</v>
      </c>
      <c r="K47">
        <v>662439</v>
      </c>
      <c r="L47">
        <v>671271.8</v>
      </c>
      <c r="M47">
        <v>678975.2</v>
      </c>
      <c r="N47">
        <v>684620.2</v>
      </c>
      <c r="O47">
        <v>688003.2</v>
      </c>
      <c r="P47">
        <v>689687.8</v>
      </c>
    </row>
    <row r="48" spans="1:16" x14ac:dyDescent="0.25">
      <c r="A48">
        <v>46</v>
      </c>
      <c r="B48">
        <v>640346.6</v>
      </c>
      <c r="C48">
        <v>641408.80000000005</v>
      </c>
      <c r="D48">
        <v>637300.6</v>
      </c>
      <c r="E48">
        <v>631939.6</v>
      </c>
      <c r="F48">
        <v>629243</v>
      </c>
      <c r="G48">
        <v>630268.80000000005</v>
      </c>
      <c r="H48">
        <v>634938</v>
      </c>
      <c r="I48">
        <v>643011.4</v>
      </c>
      <c r="J48">
        <v>652798.19999999995</v>
      </c>
      <c r="K48">
        <v>662439</v>
      </c>
      <c r="L48">
        <v>671271.8</v>
      </c>
      <c r="M48">
        <v>678975.2</v>
      </c>
      <c r="N48">
        <v>684620.2</v>
      </c>
      <c r="O48">
        <v>688003.2</v>
      </c>
      <c r="P48">
        <v>689687.8</v>
      </c>
    </row>
    <row r="49" spans="1:16" x14ac:dyDescent="0.25">
      <c r="A49">
        <v>47</v>
      </c>
      <c r="B49">
        <v>640346.6</v>
      </c>
      <c r="C49">
        <v>641408.80000000005</v>
      </c>
      <c r="D49">
        <v>637300.6</v>
      </c>
      <c r="E49">
        <v>631939.6</v>
      </c>
      <c r="F49">
        <v>629243</v>
      </c>
      <c r="G49">
        <v>630268.80000000005</v>
      </c>
      <c r="H49">
        <v>634938</v>
      </c>
      <c r="I49">
        <v>643011.4</v>
      </c>
      <c r="J49">
        <v>652798.19999999995</v>
      </c>
      <c r="K49">
        <v>662439</v>
      </c>
      <c r="L49">
        <v>671271.8</v>
      </c>
      <c r="M49">
        <v>678975.2</v>
      </c>
      <c r="N49">
        <v>684620.2</v>
      </c>
      <c r="O49">
        <v>688003.2</v>
      </c>
      <c r="P49">
        <v>689687.8</v>
      </c>
    </row>
    <row r="50" spans="1:16" x14ac:dyDescent="0.25">
      <c r="A50">
        <v>48</v>
      </c>
      <c r="B50">
        <v>640346.6</v>
      </c>
      <c r="C50">
        <v>641408.80000000005</v>
      </c>
      <c r="D50">
        <v>637300.6</v>
      </c>
      <c r="E50">
        <v>631939.6</v>
      </c>
      <c r="F50">
        <v>629243</v>
      </c>
      <c r="G50">
        <v>630268.80000000005</v>
      </c>
      <c r="H50">
        <v>634938</v>
      </c>
      <c r="I50">
        <v>643011.4</v>
      </c>
      <c r="J50">
        <v>652798.19999999995</v>
      </c>
      <c r="K50">
        <v>662439</v>
      </c>
      <c r="L50">
        <v>671271.8</v>
      </c>
      <c r="M50">
        <v>678975.2</v>
      </c>
      <c r="N50">
        <v>684620.2</v>
      </c>
      <c r="O50">
        <v>688003.2</v>
      </c>
      <c r="P50">
        <v>689687.8</v>
      </c>
    </row>
    <row r="51" spans="1:16" x14ac:dyDescent="0.25">
      <c r="A51">
        <v>49</v>
      </c>
      <c r="B51">
        <v>640346.6</v>
      </c>
      <c r="C51">
        <v>641408.80000000005</v>
      </c>
      <c r="D51">
        <v>637300.6</v>
      </c>
      <c r="E51">
        <v>631939.6</v>
      </c>
      <c r="F51">
        <v>629243</v>
      </c>
      <c r="G51">
        <v>630268.80000000005</v>
      </c>
      <c r="H51">
        <v>634938</v>
      </c>
      <c r="I51">
        <v>643011.4</v>
      </c>
      <c r="J51">
        <v>652798.19999999995</v>
      </c>
      <c r="K51">
        <v>662439</v>
      </c>
      <c r="L51">
        <v>671271.8</v>
      </c>
      <c r="M51">
        <v>678975.2</v>
      </c>
      <c r="N51">
        <v>684620.2</v>
      </c>
      <c r="O51">
        <v>688003.2</v>
      </c>
      <c r="P51">
        <v>689687.8</v>
      </c>
    </row>
    <row r="52" spans="1:16" x14ac:dyDescent="0.25">
      <c r="A52">
        <v>50</v>
      </c>
      <c r="B52">
        <v>548371</v>
      </c>
      <c r="C52">
        <v>568944.4</v>
      </c>
      <c r="D52">
        <v>590236</v>
      </c>
      <c r="E52">
        <v>609164.80000000005</v>
      </c>
      <c r="F52">
        <v>622806</v>
      </c>
      <c r="G52">
        <v>630267.6</v>
      </c>
      <c r="H52">
        <v>631444.6</v>
      </c>
      <c r="I52">
        <v>627525.4</v>
      </c>
      <c r="J52">
        <v>622374.19999999995</v>
      </c>
      <c r="K52">
        <v>619852.80000000005</v>
      </c>
      <c r="L52">
        <v>620999.19999999995</v>
      </c>
      <c r="M52">
        <v>625735.4</v>
      </c>
      <c r="N52">
        <v>633822.19999999995</v>
      </c>
      <c r="O52">
        <v>643595.6</v>
      </c>
      <c r="P52">
        <v>653228</v>
      </c>
    </row>
    <row r="53" spans="1:16" x14ac:dyDescent="0.25">
      <c r="A53">
        <v>51</v>
      </c>
      <c r="B53">
        <v>548371</v>
      </c>
      <c r="C53">
        <v>568944.4</v>
      </c>
      <c r="D53">
        <v>590236</v>
      </c>
      <c r="E53">
        <v>609164.80000000005</v>
      </c>
      <c r="F53">
        <v>622806</v>
      </c>
      <c r="G53">
        <v>630267.6</v>
      </c>
      <c r="H53">
        <v>631444.6</v>
      </c>
      <c r="I53">
        <v>627525.4</v>
      </c>
      <c r="J53">
        <v>622374.19999999995</v>
      </c>
      <c r="K53">
        <v>619852.80000000005</v>
      </c>
      <c r="L53">
        <v>620999.19999999995</v>
      </c>
      <c r="M53">
        <v>625735.4</v>
      </c>
      <c r="N53">
        <v>633822.19999999995</v>
      </c>
      <c r="O53">
        <v>643595.6</v>
      </c>
      <c r="P53">
        <v>653228</v>
      </c>
    </row>
    <row r="54" spans="1:16" x14ac:dyDescent="0.25">
      <c r="A54">
        <v>52</v>
      </c>
      <c r="B54">
        <v>548371</v>
      </c>
      <c r="C54">
        <v>568944.4</v>
      </c>
      <c r="D54">
        <v>590236</v>
      </c>
      <c r="E54">
        <v>609164.80000000005</v>
      </c>
      <c r="F54">
        <v>622806</v>
      </c>
      <c r="G54">
        <v>630267.6</v>
      </c>
      <c r="H54">
        <v>631444.6</v>
      </c>
      <c r="I54">
        <v>627525.4</v>
      </c>
      <c r="J54">
        <v>622374.19999999995</v>
      </c>
      <c r="K54">
        <v>619852.80000000005</v>
      </c>
      <c r="L54">
        <v>620999.19999999995</v>
      </c>
      <c r="M54">
        <v>625735.4</v>
      </c>
      <c r="N54">
        <v>633822.19999999995</v>
      </c>
      <c r="O54">
        <v>643595.6</v>
      </c>
      <c r="P54">
        <v>653228</v>
      </c>
    </row>
    <row r="55" spans="1:16" x14ac:dyDescent="0.25">
      <c r="A55">
        <v>53</v>
      </c>
      <c r="B55">
        <v>548371</v>
      </c>
      <c r="C55">
        <v>568944.4</v>
      </c>
      <c r="D55">
        <v>590236</v>
      </c>
      <c r="E55">
        <v>609164.80000000005</v>
      </c>
      <c r="F55">
        <v>622806</v>
      </c>
      <c r="G55">
        <v>630267.6</v>
      </c>
      <c r="H55">
        <v>631444.6</v>
      </c>
      <c r="I55">
        <v>627525.4</v>
      </c>
      <c r="J55">
        <v>622374.19999999995</v>
      </c>
      <c r="K55">
        <v>619852.80000000005</v>
      </c>
      <c r="L55">
        <v>620999.19999999995</v>
      </c>
      <c r="M55">
        <v>625735.4</v>
      </c>
      <c r="N55">
        <v>633822.19999999995</v>
      </c>
      <c r="O55">
        <v>643595.6</v>
      </c>
      <c r="P55">
        <v>653228</v>
      </c>
    </row>
    <row r="56" spans="1:16" x14ac:dyDescent="0.25">
      <c r="A56">
        <v>54</v>
      </c>
      <c r="B56">
        <v>548371</v>
      </c>
      <c r="C56">
        <v>568944.4</v>
      </c>
      <c r="D56">
        <v>590236</v>
      </c>
      <c r="E56">
        <v>609164.80000000005</v>
      </c>
      <c r="F56">
        <v>622806</v>
      </c>
      <c r="G56">
        <v>630267.6</v>
      </c>
      <c r="H56">
        <v>631444.6</v>
      </c>
      <c r="I56">
        <v>627525.4</v>
      </c>
      <c r="J56">
        <v>622374.19999999995</v>
      </c>
      <c r="K56">
        <v>619852.80000000005</v>
      </c>
      <c r="L56">
        <v>620999.19999999995</v>
      </c>
      <c r="M56">
        <v>625735.4</v>
      </c>
      <c r="N56">
        <v>633822.19999999995</v>
      </c>
      <c r="O56">
        <v>643595.6</v>
      </c>
      <c r="P56">
        <v>653228</v>
      </c>
    </row>
    <row r="57" spans="1:16" x14ac:dyDescent="0.25">
      <c r="A57">
        <v>55</v>
      </c>
      <c r="B57">
        <v>457119.6</v>
      </c>
      <c r="C57">
        <v>469224.8</v>
      </c>
      <c r="D57">
        <v>483243.4</v>
      </c>
      <c r="E57">
        <v>499016.2</v>
      </c>
      <c r="F57">
        <v>516293.2</v>
      </c>
      <c r="G57">
        <v>534924</v>
      </c>
      <c r="H57">
        <v>555176.6</v>
      </c>
      <c r="I57">
        <v>576120.4</v>
      </c>
      <c r="J57">
        <v>594752</v>
      </c>
      <c r="K57">
        <v>608215.4</v>
      </c>
      <c r="L57">
        <v>615648.80000000005</v>
      </c>
      <c r="M57">
        <v>616958</v>
      </c>
      <c r="N57">
        <v>613309.19999999995</v>
      </c>
      <c r="O57">
        <v>608475</v>
      </c>
      <c r="P57">
        <v>606220</v>
      </c>
    </row>
    <row r="58" spans="1:16" x14ac:dyDescent="0.25">
      <c r="A58">
        <v>56</v>
      </c>
      <c r="B58">
        <v>457119.6</v>
      </c>
      <c r="C58">
        <v>469224.8</v>
      </c>
      <c r="D58">
        <v>483243.4</v>
      </c>
      <c r="E58">
        <v>499016.2</v>
      </c>
      <c r="F58">
        <v>516293.2</v>
      </c>
      <c r="G58">
        <v>534924</v>
      </c>
      <c r="H58">
        <v>555176.6</v>
      </c>
      <c r="I58">
        <v>576120.4</v>
      </c>
      <c r="J58">
        <v>594752</v>
      </c>
      <c r="K58">
        <v>608215.4</v>
      </c>
      <c r="L58">
        <v>615648.80000000005</v>
      </c>
      <c r="M58">
        <v>616958</v>
      </c>
      <c r="N58">
        <v>613309.19999999995</v>
      </c>
      <c r="O58">
        <v>608475</v>
      </c>
      <c r="P58">
        <v>606220</v>
      </c>
    </row>
    <row r="59" spans="1:16" x14ac:dyDescent="0.25">
      <c r="A59">
        <v>57</v>
      </c>
      <c r="B59">
        <v>457119.6</v>
      </c>
      <c r="C59">
        <v>469224.8</v>
      </c>
      <c r="D59">
        <v>483243.4</v>
      </c>
      <c r="E59">
        <v>499016.2</v>
      </c>
      <c r="F59">
        <v>516293.2</v>
      </c>
      <c r="G59">
        <v>534924</v>
      </c>
      <c r="H59">
        <v>555176.6</v>
      </c>
      <c r="I59">
        <v>576120.4</v>
      </c>
      <c r="J59">
        <v>594752</v>
      </c>
      <c r="K59">
        <v>608215.4</v>
      </c>
      <c r="L59">
        <v>615648.80000000005</v>
      </c>
      <c r="M59">
        <v>616958</v>
      </c>
      <c r="N59">
        <v>613309.19999999995</v>
      </c>
      <c r="O59">
        <v>608475</v>
      </c>
      <c r="P59">
        <v>606220</v>
      </c>
    </row>
    <row r="60" spans="1:16" x14ac:dyDescent="0.25">
      <c r="A60">
        <v>58</v>
      </c>
      <c r="B60">
        <v>457119.6</v>
      </c>
      <c r="C60">
        <v>469224.8</v>
      </c>
      <c r="D60">
        <v>483243.4</v>
      </c>
      <c r="E60">
        <v>499016.2</v>
      </c>
      <c r="F60">
        <v>516293.2</v>
      </c>
      <c r="G60">
        <v>534924</v>
      </c>
      <c r="H60">
        <v>555176.6</v>
      </c>
      <c r="I60">
        <v>576120.4</v>
      </c>
      <c r="J60">
        <v>594752</v>
      </c>
      <c r="K60">
        <v>608215.4</v>
      </c>
      <c r="L60">
        <v>615648.80000000005</v>
      </c>
      <c r="M60">
        <v>616958</v>
      </c>
      <c r="N60">
        <v>613309.19999999995</v>
      </c>
      <c r="O60">
        <v>608475</v>
      </c>
      <c r="P60">
        <v>606220</v>
      </c>
    </row>
    <row r="61" spans="1:16" x14ac:dyDescent="0.25">
      <c r="A61">
        <v>59</v>
      </c>
      <c r="B61">
        <v>457119.6</v>
      </c>
      <c r="C61">
        <v>469224.8</v>
      </c>
      <c r="D61">
        <v>483243.4</v>
      </c>
      <c r="E61">
        <v>499016.2</v>
      </c>
      <c r="F61">
        <v>516293.2</v>
      </c>
      <c r="G61">
        <v>534924</v>
      </c>
      <c r="H61">
        <v>555176.6</v>
      </c>
      <c r="I61">
        <v>576120.4</v>
      </c>
      <c r="J61">
        <v>594752</v>
      </c>
      <c r="K61">
        <v>608215.4</v>
      </c>
      <c r="L61">
        <v>615648.80000000005</v>
      </c>
      <c r="M61">
        <v>616958</v>
      </c>
      <c r="N61">
        <v>613309.19999999995</v>
      </c>
      <c r="O61">
        <v>608475</v>
      </c>
      <c r="P61">
        <v>606220</v>
      </c>
    </row>
    <row r="62" spans="1:16" x14ac:dyDescent="0.25">
      <c r="A62">
        <v>60</v>
      </c>
      <c r="B62">
        <v>407480.6</v>
      </c>
      <c r="C62">
        <v>411726</v>
      </c>
      <c r="D62">
        <v>416072.8</v>
      </c>
      <c r="E62">
        <v>421534</v>
      </c>
      <c r="F62">
        <v>429080.6</v>
      </c>
      <c r="G62">
        <v>438939.2</v>
      </c>
      <c r="H62">
        <v>450830.2</v>
      </c>
      <c r="I62">
        <v>464549.8</v>
      </c>
      <c r="J62">
        <v>479960.2</v>
      </c>
      <c r="K62">
        <v>496835.8</v>
      </c>
      <c r="L62">
        <v>515033.59999999998</v>
      </c>
      <c r="M62">
        <v>534809.59999999998</v>
      </c>
      <c r="N62">
        <v>555259.19999999995</v>
      </c>
      <c r="O62">
        <v>573478.80000000005</v>
      </c>
      <c r="P62">
        <v>586709.19999999995</v>
      </c>
    </row>
    <row r="63" spans="1:16" x14ac:dyDescent="0.25">
      <c r="A63">
        <v>61</v>
      </c>
      <c r="B63">
        <v>407480.6</v>
      </c>
      <c r="C63">
        <v>411726</v>
      </c>
      <c r="D63">
        <v>416072.8</v>
      </c>
      <c r="E63">
        <v>421534</v>
      </c>
      <c r="F63">
        <v>429080.6</v>
      </c>
      <c r="G63">
        <v>438939.2</v>
      </c>
      <c r="H63">
        <v>450830.2</v>
      </c>
      <c r="I63">
        <v>464549.8</v>
      </c>
      <c r="J63">
        <v>479960.2</v>
      </c>
      <c r="K63">
        <v>496835.8</v>
      </c>
      <c r="L63">
        <v>515033.59999999998</v>
      </c>
      <c r="M63">
        <v>534809.59999999998</v>
      </c>
      <c r="N63">
        <v>555259.19999999995</v>
      </c>
      <c r="O63">
        <v>573478.80000000005</v>
      </c>
      <c r="P63">
        <v>586709.19999999995</v>
      </c>
    </row>
    <row r="64" spans="1:16" x14ac:dyDescent="0.25">
      <c r="A64">
        <v>62</v>
      </c>
      <c r="B64">
        <v>407480.6</v>
      </c>
      <c r="C64">
        <v>411726</v>
      </c>
      <c r="D64">
        <v>416072.8</v>
      </c>
      <c r="E64">
        <v>421534</v>
      </c>
      <c r="F64">
        <v>429080.6</v>
      </c>
      <c r="G64">
        <v>438939.2</v>
      </c>
      <c r="H64">
        <v>450830.2</v>
      </c>
      <c r="I64">
        <v>464549.8</v>
      </c>
      <c r="J64">
        <v>479960.2</v>
      </c>
      <c r="K64">
        <v>496835.8</v>
      </c>
      <c r="L64">
        <v>515033.59999999998</v>
      </c>
      <c r="M64">
        <v>534809.59999999998</v>
      </c>
      <c r="N64">
        <v>555259.19999999995</v>
      </c>
      <c r="O64">
        <v>573478.80000000005</v>
      </c>
      <c r="P64">
        <v>586709.19999999995</v>
      </c>
    </row>
    <row r="65" spans="1:16" x14ac:dyDescent="0.25">
      <c r="A65">
        <v>63</v>
      </c>
      <c r="B65">
        <v>407480.6</v>
      </c>
      <c r="C65">
        <v>411726</v>
      </c>
      <c r="D65">
        <v>416072.8</v>
      </c>
      <c r="E65">
        <v>421534</v>
      </c>
      <c r="F65">
        <v>429080.6</v>
      </c>
      <c r="G65">
        <v>438939.2</v>
      </c>
      <c r="H65">
        <v>450830.2</v>
      </c>
      <c r="I65">
        <v>464549.8</v>
      </c>
      <c r="J65">
        <v>479960.2</v>
      </c>
      <c r="K65">
        <v>496835.8</v>
      </c>
      <c r="L65">
        <v>515033.59999999998</v>
      </c>
      <c r="M65">
        <v>534809.59999999998</v>
      </c>
      <c r="N65">
        <v>555259.19999999995</v>
      </c>
      <c r="O65">
        <v>573478.80000000005</v>
      </c>
      <c r="P65">
        <v>586709.19999999995</v>
      </c>
    </row>
    <row r="66" spans="1:16" x14ac:dyDescent="0.25">
      <c r="A66">
        <v>64</v>
      </c>
      <c r="B66">
        <v>407480.6</v>
      </c>
      <c r="C66">
        <v>411726</v>
      </c>
      <c r="D66">
        <v>416072.8</v>
      </c>
      <c r="E66">
        <v>421534</v>
      </c>
      <c r="F66">
        <v>429080.6</v>
      </c>
      <c r="G66">
        <v>438939.2</v>
      </c>
      <c r="H66">
        <v>450830.2</v>
      </c>
      <c r="I66">
        <v>464549.8</v>
      </c>
      <c r="J66">
        <v>479960.2</v>
      </c>
      <c r="K66">
        <v>496835.8</v>
      </c>
      <c r="L66">
        <v>515033.59999999998</v>
      </c>
      <c r="M66">
        <v>534809.59999999998</v>
      </c>
      <c r="N66">
        <v>555259.19999999995</v>
      </c>
      <c r="O66">
        <v>573478.80000000005</v>
      </c>
      <c r="P66">
        <v>586709.19999999995</v>
      </c>
    </row>
    <row r="67" spans="1:16" x14ac:dyDescent="0.25">
      <c r="A67">
        <v>65</v>
      </c>
      <c r="B67">
        <v>356264.6</v>
      </c>
      <c r="C67">
        <v>361262.6</v>
      </c>
      <c r="D67">
        <v>366537.8</v>
      </c>
      <c r="E67">
        <v>371781.4</v>
      </c>
      <c r="F67">
        <v>376713</v>
      </c>
      <c r="G67">
        <v>381318</v>
      </c>
      <c r="H67">
        <v>385646.2</v>
      </c>
      <c r="I67">
        <v>390072</v>
      </c>
      <c r="J67">
        <v>395557.2</v>
      </c>
      <c r="K67">
        <v>403016.8</v>
      </c>
      <c r="L67">
        <v>412661.4</v>
      </c>
      <c r="M67">
        <v>424221</v>
      </c>
      <c r="N67">
        <v>437504.2</v>
      </c>
      <c r="O67">
        <v>452394.8</v>
      </c>
      <c r="P67">
        <v>468694</v>
      </c>
    </row>
    <row r="68" spans="1:16" x14ac:dyDescent="0.25">
      <c r="A68">
        <v>66</v>
      </c>
      <c r="B68">
        <v>356264.6</v>
      </c>
      <c r="C68">
        <v>361262.6</v>
      </c>
      <c r="D68">
        <v>366537.8</v>
      </c>
      <c r="E68">
        <v>371781.4</v>
      </c>
      <c r="F68">
        <v>376713</v>
      </c>
      <c r="G68">
        <v>381318</v>
      </c>
      <c r="H68">
        <v>385646.2</v>
      </c>
      <c r="I68">
        <v>390072</v>
      </c>
      <c r="J68">
        <v>395557.2</v>
      </c>
      <c r="K68">
        <v>403016.8</v>
      </c>
      <c r="L68">
        <v>412661.4</v>
      </c>
      <c r="M68">
        <v>424221</v>
      </c>
      <c r="N68">
        <v>437504.2</v>
      </c>
      <c r="O68">
        <v>452394.8</v>
      </c>
      <c r="P68">
        <v>468694</v>
      </c>
    </row>
    <row r="69" spans="1:16" x14ac:dyDescent="0.25">
      <c r="A69">
        <v>67</v>
      </c>
      <c r="B69">
        <v>356264.6</v>
      </c>
      <c r="C69">
        <v>361262.6</v>
      </c>
      <c r="D69">
        <v>366537.8</v>
      </c>
      <c r="E69">
        <v>371781.4</v>
      </c>
      <c r="F69">
        <v>376713</v>
      </c>
      <c r="G69">
        <v>381318</v>
      </c>
      <c r="H69">
        <v>385646.2</v>
      </c>
      <c r="I69">
        <v>390072</v>
      </c>
      <c r="J69">
        <v>395557.2</v>
      </c>
      <c r="K69">
        <v>403016.8</v>
      </c>
      <c r="L69">
        <v>412661.4</v>
      </c>
      <c r="M69">
        <v>424221</v>
      </c>
      <c r="N69">
        <v>437504.2</v>
      </c>
      <c r="O69">
        <v>452394.8</v>
      </c>
      <c r="P69">
        <v>468694</v>
      </c>
    </row>
    <row r="70" spans="1:16" x14ac:dyDescent="0.25">
      <c r="A70">
        <v>68</v>
      </c>
      <c r="B70">
        <v>356264.6</v>
      </c>
      <c r="C70">
        <v>361262.6</v>
      </c>
      <c r="D70">
        <v>366537.8</v>
      </c>
      <c r="E70">
        <v>371781.4</v>
      </c>
      <c r="F70">
        <v>376713</v>
      </c>
      <c r="G70">
        <v>381318</v>
      </c>
      <c r="H70">
        <v>385646.2</v>
      </c>
      <c r="I70">
        <v>390072</v>
      </c>
      <c r="J70">
        <v>395557.2</v>
      </c>
      <c r="K70">
        <v>403016.8</v>
      </c>
      <c r="L70">
        <v>412661.4</v>
      </c>
      <c r="M70">
        <v>424221</v>
      </c>
      <c r="N70">
        <v>437504.2</v>
      </c>
      <c r="O70">
        <v>452394.8</v>
      </c>
      <c r="P70">
        <v>468694</v>
      </c>
    </row>
    <row r="71" spans="1:16" x14ac:dyDescent="0.25">
      <c r="A71">
        <v>69</v>
      </c>
      <c r="B71">
        <v>356264.6</v>
      </c>
      <c r="C71">
        <v>361262.6</v>
      </c>
      <c r="D71">
        <v>366537.8</v>
      </c>
      <c r="E71">
        <v>371781.4</v>
      </c>
      <c r="F71">
        <v>376713</v>
      </c>
      <c r="G71">
        <v>381318</v>
      </c>
      <c r="H71">
        <v>385646.2</v>
      </c>
      <c r="I71">
        <v>390072</v>
      </c>
      <c r="J71">
        <v>395557.2</v>
      </c>
      <c r="K71">
        <v>403016.8</v>
      </c>
      <c r="L71">
        <v>412661.4</v>
      </c>
      <c r="M71">
        <v>424221</v>
      </c>
      <c r="N71">
        <v>437504.2</v>
      </c>
      <c r="O71">
        <v>452394.8</v>
      </c>
      <c r="P71">
        <v>468694</v>
      </c>
    </row>
    <row r="72" spans="1:16" x14ac:dyDescent="0.25">
      <c r="A72">
        <v>70</v>
      </c>
      <c r="B72">
        <v>298633</v>
      </c>
      <c r="C72">
        <v>302815.2</v>
      </c>
      <c r="D72">
        <v>307062.8</v>
      </c>
      <c r="E72">
        <v>311321.40000000002</v>
      </c>
      <c r="F72">
        <v>315731</v>
      </c>
      <c r="G72">
        <v>320395.59999999998</v>
      </c>
      <c r="H72">
        <v>325352.8</v>
      </c>
      <c r="I72">
        <v>330558.40000000002</v>
      </c>
      <c r="J72">
        <v>335734.8</v>
      </c>
      <c r="K72">
        <v>340633.4</v>
      </c>
      <c r="L72">
        <v>345242.6</v>
      </c>
      <c r="M72">
        <v>349611.2</v>
      </c>
      <c r="N72">
        <v>354083</v>
      </c>
      <c r="O72">
        <v>359539.4</v>
      </c>
      <c r="P72">
        <v>366814.8</v>
      </c>
    </row>
    <row r="73" spans="1:16" x14ac:dyDescent="0.25">
      <c r="A73">
        <v>71</v>
      </c>
      <c r="B73">
        <v>298633</v>
      </c>
      <c r="C73">
        <v>302815.2</v>
      </c>
      <c r="D73">
        <v>307062.8</v>
      </c>
      <c r="E73">
        <v>311321.40000000002</v>
      </c>
      <c r="F73">
        <v>315731</v>
      </c>
      <c r="G73">
        <v>320395.59999999998</v>
      </c>
      <c r="H73">
        <v>325352.8</v>
      </c>
      <c r="I73">
        <v>330558.40000000002</v>
      </c>
      <c r="J73">
        <v>335734.8</v>
      </c>
      <c r="K73">
        <v>340633.4</v>
      </c>
      <c r="L73">
        <v>345242.6</v>
      </c>
      <c r="M73">
        <v>349611.2</v>
      </c>
      <c r="N73">
        <v>354083</v>
      </c>
      <c r="O73">
        <v>359539.4</v>
      </c>
      <c r="P73">
        <v>366814.8</v>
      </c>
    </row>
    <row r="74" spans="1:16" x14ac:dyDescent="0.25">
      <c r="A74">
        <v>72</v>
      </c>
      <c r="B74">
        <v>298633</v>
      </c>
      <c r="C74">
        <v>302815.2</v>
      </c>
      <c r="D74">
        <v>307062.8</v>
      </c>
      <c r="E74">
        <v>311321.40000000002</v>
      </c>
      <c r="F74">
        <v>315731</v>
      </c>
      <c r="G74">
        <v>320395.59999999998</v>
      </c>
      <c r="H74">
        <v>325352.8</v>
      </c>
      <c r="I74">
        <v>330558.40000000002</v>
      </c>
      <c r="J74">
        <v>335734.8</v>
      </c>
      <c r="K74">
        <v>340633.4</v>
      </c>
      <c r="L74">
        <v>345242.6</v>
      </c>
      <c r="M74">
        <v>349611.2</v>
      </c>
      <c r="N74">
        <v>354083</v>
      </c>
      <c r="O74">
        <v>359539.4</v>
      </c>
      <c r="P74">
        <v>366814.8</v>
      </c>
    </row>
    <row r="75" spans="1:16" x14ac:dyDescent="0.25">
      <c r="A75">
        <v>73</v>
      </c>
      <c r="B75">
        <v>298633</v>
      </c>
      <c r="C75">
        <v>302815.2</v>
      </c>
      <c r="D75">
        <v>307062.8</v>
      </c>
      <c r="E75">
        <v>311321.40000000002</v>
      </c>
      <c r="F75">
        <v>315731</v>
      </c>
      <c r="G75">
        <v>320395.59999999998</v>
      </c>
      <c r="H75">
        <v>325352.8</v>
      </c>
      <c r="I75">
        <v>330558.40000000002</v>
      </c>
      <c r="J75">
        <v>335734.8</v>
      </c>
      <c r="K75">
        <v>340633.4</v>
      </c>
      <c r="L75">
        <v>345242.6</v>
      </c>
      <c r="M75">
        <v>349611.2</v>
      </c>
      <c r="N75">
        <v>354083</v>
      </c>
      <c r="O75">
        <v>359539.4</v>
      </c>
      <c r="P75">
        <v>366814.8</v>
      </c>
    </row>
    <row r="76" spans="1:16" x14ac:dyDescent="0.25">
      <c r="A76">
        <v>74</v>
      </c>
      <c r="B76">
        <v>298633</v>
      </c>
      <c r="C76">
        <v>302815.2</v>
      </c>
      <c r="D76">
        <v>307062.8</v>
      </c>
      <c r="E76">
        <v>311321.40000000002</v>
      </c>
      <c r="F76">
        <v>315731</v>
      </c>
      <c r="G76">
        <v>320395.59999999998</v>
      </c>
      <c r="H76">
        <v>325352.8</v>
      </c>
      <c r="I76">
        <v>330558.40000000002</v>
      </c>
      <c r="J76">
        <v>335734.8</v>
      </c>
      <c r="K76">
        <v>340633.4</v>
      </c>
      <c r="L76">
        <v>345242.6</v>
      </c>
      <c r="M76">
        <v>349611.2</v>
      </c>
      <c r="N76">
        <v>354083</v>
      </c>
      <c r="O76">
        <v>359539.4</v>
      </c>
      <c r="P76">
        <v>366814.8</v>
      </c>
    </row>
    <row r="77" spans="1:16" x14ac:dyDescent="0.25">
      <c r="A77">
        <v>75</v>
      </c>
      <c r="B77">
        <v>234146.6</v>
      </c>
      <c r="C77">
        <v>238072.6</v>
      </c>
      <c r="D77">
        <v>241322</v>
      </c>
      <c r="E77">
        <v>244518.39999999999</v>
      </c>
      <c r="F77">
        <v>248273</v>
      </c>
      <c r="G77">
        <v>252344.8</v>
      </c>
      <c r="H77">
        <v>256427.4</v>
      </c>
      <c r="I77">
        <v>260557.6</v>
      </c>
      <c r="J77">
        <v>264700.59999999998</v>
      </c>
      <c r="K77">
        <v>268981</v>
      </c>
      <c r="L77">
        <v>273488.8</v>
      </c>
      <c r="M77">
        <v>278257.59999999998</v>
      </c>
      <c r="N77">
        <v>283247</v>
      </c>
      <c r="O77">
        <v>288215.40000000002</v>
      </c>
      <c r="P77">
        <v>292947.20000000001</v>
      </c>
    </row>
    <row r="78" spans="1:16" x14ac:dyDescent="0.25">
      <c r="A78">
        <v>76</v>
      </c>
      <c r="B78">
        <v>234146.6</v>
      </c>
      <c r="C78">
        <v>238072.6</v>
      </c>
      <c r="D78">
        <v>241322</v>
      </c>
      <c r="E78">
        <v>244518.39999999999</v>
      </c>
      <c r="F78">
        <v>248273</v>
      </c>
      <c r="G78">
        <v>252344.8</v>
      </c>
      <c r="H78">
        <v>256427.4</v>
      </c>
      <c r="I78">
        <v>260557.6</v>
      </c>
      <c r="J78">
        <v>264700.59999999998</v>
      </c>
      <c r="K78">
        <v>268981</v>
      </c>
      <c r="L78">
        <v>273488.8</v>
      </c>
      <c r="M78">
        <v>278257.59999999998</v>
      </c>
      <c r="N78">
        <v>283247</v>
      </c>
      <c r="O78">
        <v>288215.40000000002</v>
      </c>
      <c r="P78">
        <v>292947.20000000001</v>
      </c>
    </row>
    <row r="79" spans="1:16" x14ac:dyDescent="0.25">
      <c r="A79">
        <v>77</v>
      </c>
      <c r="B79">
        <v>234146.6</v>
      </c>
      <c r="C79">
        <v>238072.6</v>
      </c>
      <c r="D79">
        <v>241322</v>
      </c>
      <c r="E79">
        <v>244518.39999999999</v>
      </c>
      <c r="F79">
        <v>248273</v>
      </c>
      <c r="G79">
        <v>252344.8</v>
      </c>
      <c r="H79">
        <v>256427.4</v>
      </c>
      <c r="I79">
        <v>260557.6</v>
      </c>
      <c r="J79">
        <v>264700.59999999998</v>
      </c>
      <c r="K79">
        <v>268981</v>
      </c>
      <c r="L79">
        <v>273488.8</v>
      </c>
      <c r="M79">
        <v>278257.59999999998</v>
      </c>
      <c r="N79">
        <v>283247</v>
      </c>
      <c r="O79">
        <v>288215.40000000002</v>
      </c>
      <c r="P79">
        <v>292947.20000000001</v>
      </c>
    </row>
    <row r="80" spans="1:16" x14ac:dyDescent="0.25">
      <c r="A80">
        <v>78</v>
      </c>
      <c r="B80">
        <v>234146.6</v>
      </c>
      <c r="C80">
        <v>238072.6</v>
      </c>
      <c r="D80">
        <v>241322</v>
      </c>
      <c r="E80">
        <v>244518.39999999999</v>
      </c>
      <c r="F80">
        <v>248273</v>
      </c>
      <c r="G80">
        <v>252344.8</v>
      </c>
      <c r="H80">
        <v>256427.4</v>
      </c>
      <c r="I80">
        <v>260557.6</v>
      </c>
      <c r="J80">
        <v>264700.59999999998</v>
      </c>
      <c r="K80">
        <v>268981</v>
      </c>
      <c r="L80">
        <v>273488.8</v>
      </c>
      <c r="M80">
        <v>278257.59999999998</v>
      </c>
      <c r="N80">
        <v>283247</v>
      </c>
      <c r="O80">
        <v>288215.40000000002</v>
      </c>
      <c r="P80">
        <v>292947.20000000001</v>
      </c>
    </row>
    <row r="81" spans="1:16" x14ac:dyDescent="0.25">
      <c r="A81">
        <v>79</v>
      </c>
      <c r="B81">
        <v>234146.6</v>
      </c>
      <c r="C81">
        <v>238072.6</v>
      </c>
      <c r="D81">
        <v>241322</v>
      </c>
      <c r="E81">
        <v>244518.39999999999</v>
      </c>
      <c r="F81">
        <v>248273</v>
      </c>
      <c r="G81">
        <v>252344.8</v>
      </c>
      <c r="H81">
        <v>256427.4</v>
      </c>
      <c r="I81">
        <v>260557.6</v>
      </c>
      <c r="J81">
        <v>264700.59999999998</v>
      </c>
      <c r="K81">
        <v>268981</v>
      </c>
      <c r="L81">
        <v>273488.8</v>
      </c>
      <c r="M81">
        <v>278257.59999999998</v>
      </c>
      <c r="N81">
        <v>283247</v>
      </c>
      <c r="O81">
        <v>288215.40000000002</v>
      </c>
      <c r="P81">
        <v>292947.20000000001</v>
      </c>
    </row>
    <row r="82" spans="1:16" x14ac:dyDescent="0.25">
      <c r="A82">
        <v>80</v>
      </c>
      <c r="B82">
        <v>152586.6</v>
      </c>
      <c r="C82">
        <v>158151</v>
      </c>
      <c r="D82">
        <v>164042.4</v>
      </c>
      <c r="E82">
        <v>169980.6</v>
      </c>
      <c r="F82">
        <v>174995.4</v>
      </c>
      <c r="G82">
        <v>179061.2</v>
      </c>
      <c r="H82">
        <v>182579.8</v>
      </c>
      <c r="I82">
        <v>185639.6</v>
      </c>
      <c r="J82">
        <v>188701</v>
      </c>
      <c r="K82">
        <v>192188.4</v>
      </c>
      <c r="L82">
        <v>195909.6</v>
      </c>
      <c r="M82">
        <v>199641.2</v>
      </c>
      <c r="N82">
        <v>203410.8</v>
      </c>
      <c r="O82">
        <v>207201.6</v>
      </c>
      <c r="P82">
        <v>211114</v>
      </c>
    </row>
    <row r="83" spans="1:16" x14ac:dyDescent="0.25">
      <c r="A83">
        <v>81</v>
      </c>
      <c r="B83">
        <v>152586.6</v>
      </c>
      <c r="C83">
        <v>158151</v>
      </c>
      <c r="D83">
        <v>164042.4</v>
      </c>
      <c r="E83">
        <v>169980.6</v>
      </c>
      <c r="F83">
        <v>174995.4</v>
      </c>
      <c r="G83">
        <v>179061.2</v>
      </c>
      <c r="H83">
        <v>182579.8</v>
      </c>
      <c r="I83">
        <v>185639.6</v>
      </c>
      <c r="J83">
        <v>188701</v>
      </c>
      <c r="K83">
        <v>192188.4</v>
      </c>
      <c r="L83">
        <v>195909.6</v>
      </c>
      <c r="M83">
        <v>199641.2</v>
      </c>
      <c r="N83">
        <v>203410.8</v>
      </c>
      <c r="O83">
        <v>207201.6</v>
      </c>
      <c r="P83">
        <v>211114</v>
      </c>
    </row>
    <row r="84" spans="1:16" x14ac:dyDescent="0.25">
      <c r="A84">
        <v>82</v>
      </c>
      <c r="B84">
        <v>152586.6</v>
      </c>
      <c r="C84">
        <v>158151</v>
      </c>
      <c r="D84">
        <v>164042.4</v>
      </c>
      <c r="E84">
        <v>169980.6</v>
      </c>
      <c r="F84">
        <v>174995.4</v>
      </c>
      <c r="G84">
        <v>179061.2</v>
      </c>
      <c r="H84">
        <v>182579.8</v>
      </c>
      <c r="I84">
        <v>185639.6</v>
      </c>
      <c r="J84">
        <v>188701</v>
      </c>
      <c r="K84">
        <v>192188.4</v>
      </c>
      <c r="L84">
        <v>195909.6</v>
      </c>
      <c r="M84">
        <v>199641.2</v>
      </c>
      <c r="N84">
        <v>203410.8</v>
      </c>
      <c r="O84">
        <v>207201.6</v>
      </c>
      <c r="P84">
        <v>211114</v>
      </c>
    </row>
    <row r="85" spans="1:16" x14ac:dyDescent="0.25">
      <c r="A85">
        <v>83</v>
      </c>
      <c r="B85">
        <v>152586.6</v>
      </c>
      <c r="C85">
        <v>158151</v>
      </c>
      <c r="D85">
        <v>164042.4</v>
      </c>
      <c r="E85">
        <v>169980.6</v>
      </c>
      <c r="F85">
        <v>174995.4</v>
      </c>
      <c r="G85">
        <v>179061.2</v>
      </c>
      <c r="H85">
        <v>182579.8</v>
      </c>
      <c r="I85">
        <v>185639.6</v>
      </c>
      <c r="J85">
        <v>188701</v>
      </c>
      <c r="K85">
        <v>192188.4</v>
      </c>
      <c r="L85">
        <v>195909.6</v>
      </c>
      <c r="M85">
        <v>199641.2</v>
      </c>
      <c r="N85">
        <v>203410.8</v>
      </c>
      <c r="O85">
        <v>207201.6</v>
      </c>
      <c r="P85">
        <v>211114</v>
      </c>
    </row>
    <row r="86" spans="1:16" x14ac:dyDescent="0.25">
      <c r="A86">
        <v>84</v>
      </c>
      <c r="B86">
        <v>152586.6</v>
      </c>
      <c r="C86">
        <v>158151</v>
      </c>
      <c r="D86">
        <v>164042.4</v>
      </c>
      <c r="E86">
        <v>169980.6</v>
      </c>
      <c r="F86">
        <v>174995.4</v>
      </c>
      <c r="G86">
        <v>179061.2</v>
      </c>
      <c r="H86">
        <v>182579.8</v>
      </c>
      <c r="I86">
        <v>185639.6</v>
      </c>
      <c r="J86">
        <v>188701</v>
      </c>
      <c r="K86">
        <v>192188.4</v>
      </c>
      <c r="L86">
        <v>195909.6</v>
      </c>
      <c r="M86">
        <v>199641.2</v>
      </c>
      <c r="N86">
        <v>203410.8</v>
      </c>
      <c r="O86">
        <v>207201.6</v>
      </c>
      <c r="P86">
        <v>211114</v>
      </c>
    </row>
    <row r="87" spans="1:16" x14ac:dyDescent="0.25">
      <c r="A87">
        <v>85</v>
      </c>
      <c r="B87">
        <v>86052.6</v>
      </c>
      <c r="C87">
        <v>88005.6</v>
      </c>
      <c r="D87">
        <v>90456.2</v>
      </c>
      <c r="E87">
        <v>93140.800000000003</v>
      </c>
      <c r="F87">
        <v>96295.4</v>
      </c>
      <c r="G87">
        <v>100044.2</v>
      </c>
      <c r="H87">
        <v>104118.8</v>
      </c>
      <c r="I87">
        <v>108436.4</v>
      </c>
      <c r="J87">
        <v>112769.8</v>
      </c>
      <c r="K87">
        <v>116477.8</v>
      </c>
      <c r="L87">
        <v>119588.4</v>
      </c>
      <c r="M87">
        <v>122392.4</v>
      </c>
      <c r="N87">
        <v>124948</v>
      </c>
      <c r="O87">
        <v>127548.4</v>
      </c>
      <c r="P87">
        <v>130434</v>
      </c>
    </row>
    <row r="88" spans="1:16" x14ac:dyDescent="0.25">
      <c r="A88">
        <v>86</v>
      </c>
      <c r="B88">
        <v>86052.6</v>
      </c>
      <c r="C88">
        <v>88005.6</v>
      </c>
      <c r="D88">
        <v>90456.2</v>
      </c>
      <c r="E88">
        <v>93140.800000000003</v>
      </c>
      <c r="F88">
        <v>96295.4</v>
      </c>
      <c r="G88">
        <v>100044.2</v>
      </c>
      <c r="H88">
        <v>104118.8</v>
      </c>
      <c r="I88">
        <v>108436.4</v>
      </c>
      <c r="J88">
        <v>112769.8</v>
      </c>
      <c r="K88">
        <v>116477.8</v>
      </c>
      <c r="L88">
        <v>119588.4</v>
      </c>
      <c r="M88">
        <v>122392.4</v>
      </c>
      <c r="N88">
        <v>124948</v>
      </c>
      <c r="O88">
        <v>127548.4</v>
      </c>
      <c r="P88">
        <v>130434</v>
      </c>
    </row>
    <row r="89" spans="1:16" x14ac:dyDescent="0.25">
      <c r="A89">
        <v>87</v>
      </c>
      <c r="B89">
        <v>86052.6</v>
      </c>
      <c r="C89">
        <v>88005.6</v>
      </c>
      <c r="D89">
        <v>90456.2</v>
      </c>
      <c r="E89">
        <v>93140.800000000003</v>
      </c>
      <c r="F89">
        <v>96295.4</v>
      </c>
      <c r="G89">
        <v>100044.2</v>
      </c>
      <c r="H89">
        <v>104118.8</v>
      </c>
      <c r="I89">
        <v>108436.4</v>
      </c>
      <c r="J89">
        <v>112769.8</v>
      </c>
      <c r="K89">
        <v>116477.8</v>
      </c>
      <c r="L89">
        <v>119588.4</v>
      </c>
      <c r="M89">
        <v>122392.4</v>
      </c>
      <c r="N89">
        <v>124948</v>
      </c>
      <c r="O89">
        <v>127548.4</v>
      </c>
      <c r="P89">
        <v>130434</v>
      </c>
    </row>
    <row r="90" spans="1:16" x14ac:dyDescent="0.25">
      <c r="A90">
        <v>88</v>
      </c>
      <c r="B90">
        <v>86052.6</v>
      </c>
      <c r="C90">
        <v>88005.6</v>
      </c>
      <c r="D90">
        <v>90456.2</v>
      </c>
      <c r="E90">
        <v>93140.800000000003</v>
      </c>
      <c r="F90">
        <v>96295.4</v>
      </c>
      <c r="G90">
        <v>100044.2</v>
      </c>
      <c r="H90">
        <v>104118.8</v>
      </c>
      <c r="I90">
        <v>108436.4</v>
      </c>
      <c r="J90">
        <v>112769.8</v>
      </c>
      <c r="K90">
        <v>116477.8</v>
      </c>
      <c r="L90">
        <v>119588.4</v>
      </c>
      <c r="M90">
        <v>122392.4</v>
      </c>
      <c r="N90">
        <v>124948</v>
      </c>
      <c r="O90">
        <v>127548.4</v>
      </c>
      <c r="P90">
        <v>130434</v>
      </c>
    </row>
    <row r="91" spans="1:16" x14ac:dyDescent="0.25">
      <c r="A91">
        <v>89</v>
      </c>
      <c r="B91">
        <v>86052.6</v>
      </c>
      <c r="C91">
        <v>88005.6</v>
      </c>
      <c r="D91">
        <v>90456.2</v>
      </c>
      <c r="E91">
        <v>93140.800000000003</v>
      </c>
      <c r="F91">
        <v>96295.4</v>
      </c>
      <c r="G91">
        <v>100044.2</v>
      </c>
      <c r="H91">
        <v>104118.8</v>
      </c>
      <c r="I91">
        <v>108436.4</v>
      </c>
      <c r="J91">
        <v>112769.8</v>
      </c>
      <c r="K91">
        <v>116477.8</v>
      </c>
      <c r="L91">
        <v>119588.4</v>
      </c>
      <c r="M91">
        <v>122392.4</v>
      </c>
      <c r="N91">
        <v>124948</v>
      </c>
      <c r="O91">
        <v>127548.4</v>
      </c>
      <c r="P91">
        <v>130434</v>
      </c>
    </row>
    <row r="92" spans="1:16" x14ac:dyDescent="0.25">
      <c r="A92">
        <v>90</v>
      </c>
      <c r="B92">
        <v>41194.400000000001</v>
      </c>
      <c r="C92">
        <v>41418</v>
      </c>
      <c r="D92">
        <v>41790.199999999997</v>
      </c>
      <c r="E92">
        <v>42491.4</v>
      </c>
      <c r="F92">
        <v>43401.599999999999</v>
      </c>
      <c r="G92">
        <v>44403.6</v>
      </c>
      <c r="H92">
        <v>45701.4</v>
      </c>
      <c r="I92">
        <v>47265.2</v>
      </c>
      <c r="J92">
        <v>48943.4</v>
      </c>
      <c r="K92">
        <v>50880</v>
      </c>
      <c r="L92">
        <v>53155</v>
      </c>
      <c r="M92">
        <v>55632.2</v>
      </c>
      <c r="N92">
        <v>58257.8</v>
      </c>
      <c r="O92">
        <v>60881.2</v>
      </c>
      <c r="P92">
        <v>63154.8</v>
      </c>
    </row>
    <row r="93" spans="1:16" x14ac:dyDescent="0.25">
      <c r="A93">
        <v>91</v>
      </c>
      <c r="B93">
        <v>41194.400000000001</v>
      </c>
      <c r="C93">
        <v>41418</v>
      </c>
      <c r="D93">
        <v>41790.199999999997</v>
      </c>
      <c r="E93">
        <v>42491.4</v>
      </c>
      <c r="F93">
        <v>43401.599999999999</v>
      </c>
      <c r="G93">
        <v>44403.6</v>
      </c>
      <c r="H93">
        <v>45701.4</v>
      </c>
      <c r="I93">
        <v>47265.2</v>
      </c>
      <c r="J93">
        <v>48943.4</v>
      </c>
      <c r="K93">
        <v>50880</v>
      </c>
      <c r="L93">
        <v>53155</v>
      </c>
      <c r="M93">
        <v>55632.2</v>
      </c>
      <c r="N93">
        <v>58257.8</v>
      </c>
      <c r="O93">
        <v>60881.2</v>
      </c>
      <c r="P93">
        <v>63154.8</v>
      </c>
    </row>
    <row r="94" spans="1:16" x14ac:dyDescent="0.25">
      <c r="A94">
        <v>92</v>
      </c>
      <c r="B94">
        <v>41194.400000000001</v>
      </c>
      <c r="C94">
        <v>41418</v>
      </c>
      <c r="D94">
        <v>41790.199999999997</v>
      </c>
      <c r="E94">
        <v>42491.4</v>
      </c>
      <c r="F94">
        <v>43401.599999999999</v>
      </c>
      <c r="G94">
        <v>44403.6</v>
      </c>
      <c r="H94">
        <v>45701.4</v>
      </c>
      <c r="I94">
        <v>47265.2</v>
      </c>
      <c r="J94">
        <v>48943.4</v>
      </c>
      <c r="K94">
        <v>50880</v>
      </c>
      <c r="L94">
        <v>53155</v>
      </c>
      <c r="M94">
        <v>55632.2</v>
      </c>
      <c r="N94">
        <v>58257.8</v>
      </c>
      <c r="O94">
        <v>60881.2</v>
      </c>
      <c r="P94">
        <v>63154.8</v>
      </c>
    </row>
    <row r="95" spans="1:16" x14ac:dyDescent="0.25">
      <c r="A95">
        <v>93</v>
      </c>
      <c r="B95">
        <v>41194.400000000001</v>
      </c>
      <c r="C95">
        <v>41418</v>
      </c>
      <c r="D95">
        <v>41790.199999999997</v>
      </c>
      <c r="E95">
        <v>42491.4</v>
      </c>
      <c r="F95">
        <v>43401.599999999999</v>
      </c>
      <c r="G95">
        <v>44403.6</v>
      </c>
      <c r="H95">
        <v>45701.4</v>
      </c>
      <c r="I95">
        <v>47265.2</v>
      </c>
      <c r="J95">
        <v>48943.4</v>
      </c>
      <c r="K95">
        <v>50880</v>
      </c>
      <c r="L95">
        <v>53155</v>
      </c>
      <c r="M95">
        <v>55632.2</v>
      </c>
      <c r="N95">
        <v>58257.8</v>
      </c>
      <c r="O95">
        <v>60881.2</v>
      </c>
      <c r="P95">
        <v>63154.8</v>
      </c>
    </row>
    <row r="96" spans="1:16" x14ac:dyDescent="0.25">
      <c r="A96">
        <v>94</v>
      </c>
      <c r="B96">
        <v>41194.400000000001</v>
      </c>
      <c r="C96">
        <v>41418</v>
      </c>
      <c r="D96">
        <v>41790.199999999997</v>
      </c>
      <c r="E96">
        <v>42491.4</v>
      </c>
      <c r="F96">
        <v>43401.599999999999</v>
      </c>
      <c r="G96">
        <v>44403.6</v>
      </c>
      <c r="H96">
        <v>45701.4</v>
      </c>
      <c r="I96">
        <v>47265.2</v>
      </c>
      <c r="J96">
        <v>48943.4</v>
      </c>
      <c r="K96">
        <v>50880</v>
      </c>
      <c r="L96">
        <v>53155</v>
      </c>
      <c r="M96">
        <v>55632.2</v>
      </c>
      <c r="N96">
        <v>58257.8</v>
      </c>
      <c r="O96">
        <v>60881.2</v>
      </c>
      <c r="P96">
        <v>63154.8</v>
      </c>
    </row>
    <row r="97" spans="1:16" x14ac:dyDescent="0.25">
      <c r="A97">
        <v>95</v>
      </c>
      <c r="B97">
        <v>13544.2</v>
      </c>
      <c r="C97">
        <v>14267.2</v>
      </c>
      <c r="D97">
        <v>14787.4</v>
      </c>
      <c r="E97">
        <v>14978.6</v>
      </c>
      <c r="F97">
        <v>15038.6</v>
      </c>
      <c r="G97">
        <v>15190.2</v>
      </c>
      <c r="H97">
        <v>15411.6</v>
      </c>
      <c r="I97">
        <v>15691.2</v>
      </c>
      <c r="J97">
        <v>16080.6</v>
      </c>
      <c r="K97">
        <v>16545.599999999999</v>
      </c>
      <c r="L97">
        <v>17057.400000000001</v>
      </c>
      <c r="M97">
        <v>17697</v>
      </c>
      <c r="N97">
        <v>18444.8</v>
      </c>
      <c r="O97">
        <v>19235.2</v>
      </c>
      <c r="P97">
        <v>20135.8</v>
      </c>
    </row>
    <row r="98" spans="1:16" x14ac:dyDescent="0.25">
      <c r="A98">
        <v>96</v>
      </c>
      <c r="B98">
        <v>13544.2</v>
      </c>
      <c r="C98">
        <v>14267.2</v>
      </c>
      <c r="D98">
        <v>14787.4</v>
      </c>
      <c r="E98">
        <v>14978.6</v>
      </c>
      <c r="F98">
        <v>15038.6</v>
      </c>
      <c r="G98">
        <v>15190.2</v>
      </c>
      <c r="H98">
        <v>15411.6</v>
      </c>
      <c r="I98">
        <v>15691.2</v>
      </c>
      <c r="J98">
        <v>16080.6</v>
      </c>
      <c r="K98">
        <v>16545.599999999999</v>
      </c>
      <c r="L98">
        <v>17057.400000000001</v>
      </c>
      <c r="M98">
        <v>17697</v>
      </c>
      <c r="N98">
        <v>18444.8</v>
      </c>
      <c r="O98">
        <v>19235.2</v>
      </c>
      <c r="P98">
        <v>20135.8</v>
      </c>
    </row>
    <row r="99" spans="1:16" x14ac:dyDescent="0.25">
      <c r="A99">
        <v>97</v>
      </c>
      <c r="B99">
        <v>13544.2</v>
      </c>
      <c r="C99">
        <v>14267.2</v>
      </c>
      <c r="D99">
        <v>14787.4</v>
      </c>
      <c r="E99">
        <v>14978.6</v>
      </c>
      <c r="F99">
        <v>15038.6</v>
      </c>
      <c r="G99">
        <v>15190.2</v>
      </c>
      <c r="H99">
        <v>15411.6</v>
      </c>
      <c r="I99">
        <v>15691.2</v>
      </c>
      <c r="J99">
        <v>16080.6</v>
      </c>
      <c r="K99">
        <v>16545.599999999999</v>
      </c>
      <c r="L99">
        <v>17057.400000000001</v>
      </c>
      <c r="M99">
        <v>17697</v>
      </c>
      <c r="N99">
        <v>18444.8</v>
      </c>
      <c r="O99">
        <v>19235.2</v>
      </c>
      <c r="P99">
        <v>20135.8</v>
      </c>
    </row>
    <row r="100" spans="1:16" x14ac:dyDescent="0.25">
      <c r="A100">
        <v>98</v>
      </c>
      <c r="B100">
        <v>13544.2</v>
      </c>
      <c r="C100">
        <v>14267.2</v>
      </c>
      <c r="D100">
        <v>14787.4</v>
      </c>
      <c r="E100">
        <v>14978.6</v>
      </c>
      <c r="F100">
        <v>15038.6</v>
      </c>
      <c r="G100">
        <v>15190.2</v>
      </c>
      <c r="H100">
        <v>15411.6</v>
      </c>
      <c r="I100">
        <v>15691.2</v>
      </c>
      <c r="J100">
        <v>16080.6</v>
      </c>
      <c r="K100">
        <v>16545.599999999999</v>
      </c>
      <c r="L100">
        <v>17057.400000000001</v>
      </c>
      <c r="M100">
        <v>17697</v>
      </c>
      <c r="N100">
        <v>18444.8</v>
      </c>
      <c r="O100">
        <v>19235.2</v>
      </c>
      <c r="P100">
        <v>20135.8</v>
      </c>
    </row>
    <row r="101" spans="1:16" x14ac:dyDescent="0.25">
      <c r="A101">
        <v>99</v>
      </c>
      <c r="B101">
        <v>13544.2</v>
      </c>
      <c r="C101">
        <v>14267.2</v>
      </c>
      <c r="D101">
        <v>14787.4</v>
      </c>
      <c r="E101">
        <v>14978.6</v>
      </c>
      <c r="F101">
        <v>15038.6</v>
      </c>
      <c r="G101">
        <v>15190.2</v>
      </c>
      <c r="H101">
        <v>15411.6</v>
      </c>
      <c r="I101">
        <v>15691.2</v>
      </c>
      <c r="J101">
        <v>16080.6</v>
      </c>
      <c r="K101">
        <v>16545.599999999999</v>
      </c>
      <c r="L101">
        <v>17057.400000000001</v>
      </c>
      <c r="M101">
        <v>17697</v>
      </c>
      <c r="N101">
        <v>18444.8</v>
      </c>
      <c r="O101">
        <v>19235.2</v>
      </c>
      <c r="P101">
        <v>20135.8</v>
      </c>
    </row>
    <row r="102" spans="1:16" x14ac:dyDescent="0.25">
      <c r="A102">
        <v>100</v>
      </c>
      <c r="B102">
        <v>10217</v>
      </c>
      <c r="C102">
        <v>11367</v>
      </c>
      <c r="D102">
        <v>12654</v>
      </c>
      <c r="E102">
        <v>14049</v>
      </c>
      <c r="F102">
        <v>15478</v>
      </c>
      <c r="G102">
        <v>16756</v>
      </c>
      <c r="H102">
        <v>17842</v>
      </c>
      <c r="I102">
        <v>18735</v>
      </c>
      <c r="J102">
        <v>19276</v>
      </c>
      <c r="K102">
        <v>19720</v>
      </c>
      <c r="L102">
        <v>20298</v>
      </c>
      <c r="M102">
        <v>20936</v>
      </c>
      <c r="N102">
        <v>21610</v>
      </c>
      <c r="O102">
        <v>22335</v>
      </c>
      <c r="P102">
        <v>23133</v>
      </c>
    </row>
    <row r="103" spans="1:16" x14ac:dyDescent="0.25">
      <c r="A103" s="7" t="s">
        <v>28</v>
      </c>
      <c r="B103" s="8">
        <f t="shared" ref="B103:P103" si="0">SUM(B2:B102)</f>
        <v>46466688.000000067</v>
      </c>
      <c r="C103" s="8">
        <f t="shared" si="0"/>
        <v>46540071.000000037</v>
      </c>
      <c r="D103" s="8">
        <f t="shared" si="0"/>
        <v>46609532.999999955</v>
      </c>
      <c r="E103" s="8">
        <f t="shared" si="0"/>
        <v>46676998.999999993</v>
      </c>
      <c r="F103" s="8">
        <f t="shared" si="0"/>
        <v>46744389.000000037</v>
      </c>
      <c r="G103" s="8">
        <f t="shared" si="0"/>
        <v>46814264.000000075</v>
      </c>
      <c r="H103" s="8">
        <f t="shared" si="0"/>
        <v>46886737</v>
      </c>
      <c r="I103" s="8">
        <f t="shared" si="0"/>
        <v>46961802.999999978</v>
      </c>
      <c r="J103" s="8">
        <f t="shared" si="0"/>
        <v>47039273.999999993</v>
      </c>
      <c r="K103" s="8">
        <f t="shared" si="0"/>
        <v>47118715.99999994</v>
      </c>
      <c r="L103" s="8">
        <f t="shared" si="0"/>
        <v>47199435.999999978</v>
      </c>
      <c r="M103" s="8">
        <f t="shared" si="0"/>
        <v>47280504.000000037</v>
      </c>
      <c r="N103" s="8">
        <f t="shared" si="0"/>
        <v>47360804.000000007</v>
      </c>
      <c r="O103" s="8">
        <f t="shared" si="0"/>
        <v>47439107.999999978</v>
      </c>
      <c r="P103" s="8">
        <f t="shared" si="0"/>
        <v>47514115.999999985</v>
      </c>
    </row>
    <row r="104" spans="1:16" x14ac:dyDescent="0.25">
      <c r="A104" s="7" t="s">
        <v>20</v>
      </c>
      <c r="B104">
        <f t="shared" ref="B104:P104" si="1">+SUM(B21:B66)</f>
        <v>28334130.400000021</v>
      </c>
      <c r="C104">
        <f t="shared" si="1"/>
        <v>28593757.40000001</v>
      </c>
      <c r="D104">
        <f t="shared" si="1"/>
        <v>28861032.20000001</v>
      </c>
      <c r="E104">
        <f t="shared" si="1"/>
        <v>29139312.799999997</v>
      </c>
      <c r="F104">
        <f t="shared" si="1"/>
        <v>29415773.000000007</v>
      </c>
      <c r="G104">
        <f t="shared" si="1"/>
        <v>29683893.800000012</v>
      </c>
      <c r="H104">
        <f t="shared" si="1"/>
        <v>29939844.200000018</v>
      </c>
      <c r="I104">
        <f t="shared" si="1"/>
        <v>30187462.199999984</v>
      </c>
      <c r="J104">
        <f t="shared" si="1"/>
        <v>30429657.599999987</v>
      </c>
      <c r="K104">
        <f t="shared" si="1"/>
        <v>30644196.800000001</v>
      </c>
      <c r="L104">
        <f t="shared" si="1"/>
        <v>30807135.000000011</v>
      </c>
      <c r="M104">
        <f t="shared" si="1"/>
        <v>30927262.399999991</v>
      </c>
      <c r="N104">
        <f t="shared" si="1"/>
        <v>31010596.799999982</v>
      </c>
      <c r="O104">
        <f t="shared" si="1"/>
        <v>31038330.400000006</v>
      </c>
      <c r="P104">
        <f t="shared" si="1"/>
        <v>30992481</v>
      </c>
    </row>
    <row r="105" spans="1:16" x14ac:dyDescent="0.25">
      <c r="A105" s="7" t="s">
        <v>21</v>
      </c>
      <c r="B105">
        <f t="shared" ref="B105:P105" si="2">+SUM(B67:B102)</f>
        <v>5922326.9999999991</v>
      </c>
      <c r="C105">
        <f t="shared" si="2"/>
        <v>6031328</v>
      </c>
      <c r="D105">
        <f t="shared" si="2"/>
        <v>6142648.0000000047</v>
      </c>
      <c r="E105">
        <f t="shared" si="2"/>
        <v>6255111.9999999972</v>
      </c>
      <c r="F105">
        <f t="shared" si="2"/>
        <v>6367718</v>
      </c>
      <c r="G105">
        <f t="shared" si="2"/>
        <v>6480544.0000000009</v>
      </c>
      <c r="H105">
        <f t="shared" si="2"/>
        <v>6594031.9999999981</v>
      </c>
      <c r="I105">
        <f t="shared" si="2"/>
        <v>6709837.0000000009</v>
      </c>
      <c r="J105">
        <f t="shared" si="2"/>
        <v>6831712.9999999972</v>
      </c>
      <c r="K105">
        <f t="shared" si="2"/>
        <v>6963334.9999999991</v>
      </c>
      <c r="L105">
        <f t="shared" si="2"/>
        <v>7105814.0000000019</v>
      </c>
      <c r="M105">
        <f t="shared" si="2"/>
        <v>7258199.0000000037</v>
      </c>
      <c r="N105">
        <f t="shared" si="2"/>
        <v>7421087.9999999972</v>
      </c>
      <c r="O105">
        <f t="shared" si="2"/>
        <v>7597415.0000000028</v>
      </c>
      <c r="P105">
        <f t="shared" si="2"/>
        <v>7789605.9999999981</v>
      </c>
    </row>
    <row r="106" spans="1:16" x14ac:dyDescent="0.25">
      <c r="A106" s="7"/>
    </row>
    <row r="107" spans="1:16" x14ac:dyDescent="0.25">
      <c r="A107" s="7"/>
    </row>
  </sheetData>
  <hyperlinks>
    <hyperlink ref="Q1" location="Ref!A1" display="INDICE" xr:uid="{2E61C4A7-2843-4BE1-936B-BCBBAE42F07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51C1-E2DE-4E32-A867-0102C75579AA}">
  <sheetPr>
    <tabColor theme="5"/>
  </sheetPr>
  <dimension ref="A1:G54"/>
  <sheetViews>
    <sheetView workbookViewId="0"/>
  </sheetViews>
  <sheetFormatPr baseColWidth="10" defaultRowHeight="15" x14ac:dyDescent="0.25"/>
  <sheetData>
    <row r="1" spans="1:7" x14ac:dyDescent="0.25">
      <c r="A1" s="5" t="s">
        <v>14</v>
      </c>
      <c r="B1" s="5" t="s">
        <v>15</v>
      </c>
      <c r="C1" s="5" t="s">
        <v>16</v>
      </c>
      <c r="D1" s="5" t="s">
        <v>17</v>
      </c>
      <c r="G1" s="6" t="s">
        <v>18</v>
      </c>
    </row>
    <row r="2" spans="1:7" x14ac:dyDescent="0.25">
      <c r="A2">
        <v>20</v>
      </c>
      <c r="B2">
        <v>98556</v>
      </c>
      <c r="C2">
        <v>0.84676732010227673</v>
      </c>
      <c r="D2" cm="1">
        <f t="array" ref="D2:D46">+[8]tabla_mort_raw!F59:F103</f>
        <v>0.99924990982192463</v>
      </c>
    </row>
    <row r="3" spans="1:7" x14ac:dyDescent="0.25">
      <c r="A3">
        <v>21</v>
      </c>
      <c r="B3">
        <v>98482.074112409609</v>
      </c>
      <c r="C3">
        <v>0.84740294873099187</v>
      </c>
      <c r="D3">
        <v>0.9991597865254549</v>
      </c>
    </row>
    <row r="4" spans="1:7" x14ac:dyDescent="0.25">
      <c r="A4">
        <v>22</v>
      </c>
      <c r="B4">
        <v>98399.328146739208</v>
      </c>
      <c r="C4">
        <v>0.84811554684141932</v>
      </c>
      <c r="D4">
        <v>0.99910576333200973</v>
      </c>
    </row>
    <row r="5" spans="1:7" x14ac:dyDescent="0.25">
      <c r="A5">
        <v>23</v>
      </c>
      <c r="B5">
        <v>98311.33585940479</v>
      </c>
      <c r="C5">
        <v>0.84887464167252991</v>
      </c>
      <c r="D5">
        <v>0.99907527789104211</v>
      </c>
    </row>
    <row r="6" spans="1:7" x14ac:dyDescent="0.25">
      <c r="A6">
        <v>24</v>
      </c>
      <c r="B6">
        <v>98220.425193574411</v>
      </c>
      <c r="C6">
        <v>0.84966034137530444</v>
      </c>
      <c r="D6">
        <v>0.99905900230637101</v>
      </c>
    </row>
    <row r="7" spans="1:7" x14ac:dyDescent="0.25">
      <c r="A7">
        <v>25</v>
      </c>
      <c r="B7">
        <v>98128</v>
      </c>
      <c r="C7">
        <v>0.85046062285993784</v>
      </c>
      <c r="D7">
        <v>0.99905015185677482</v>
      </c>
    </row>
    <row r="8" spans="1:7" x14ac:dyDescent="0.25">
      <c r="A8">
        <v>26</v>
      </c>
      <c r="B8">
        <v>98034.793301401602</v>
      </c>
      <c r="C8">
        <v>0.85126919932830469</v>
      </c>
      <c r="D8">
        <v>0.99904390579105684</v>
      </c>
    </row>
    <row r="9" spans="1:7" x14ac:dyDescent="0.25">
      <c r="A9">
        <v>27</v>
      </c>
      <c r="B9">
        <v>97941.062803251189</v>
      </c>
      <c r="C9">
        <v>0.85208387178365086</v>
      </c>
      <c r="D9">
        <v>0.99903692521854848</v>
      </c>
    </row>
    <row r="10" spans="1:7" x14ac:dyDescent="0.25">
      <c r="A10">
        <v>28</v>
      </c>
      <c r="B10">
        <v>97846.738235596815</v>
      </c>
      <c r="C10">
        <v>0.85290528335301496</v>
      </c>
      <c r="D10">
        <v>0.99902695596616475</v>
      </c>
    </row>
    <row r="11" spans="1:7" x14ac:dyDescent="0.25">
      <c r="A11">
        <v>29</v>
      </c>
      <c r="B11">
        <v>97751.529050726429</v>
      </c>
      <c r="C11">
        <v>0.85373600608020161</v>
      </c>
      <c r="D11">
        <v>0.99901250597649127</v>
      </c>
    </row>
    <row r="12" spans="1:7" x14ac:dyDescent="0.25">
      <c r="A12">
        <v>30</v>
      </c>
      <c r="B12">
        <v>97655</v>
      </c>
      <c r="C12">
        <v>0.85457989862270223</v>
      </c>
      <c r="D12">
        <v>0.99899258788667866</v>
      </c>
    </row>
    <row r="13" spans="1:7" x14ac:dyDescent="0.25">
      <c r="A13">
        <v>31</v>
      </c>
      <c r="B13">
        <v>97556.621170073602</v>
      </c>
      <c r="C13">
        <v>0.8554416809343155</v>
      </c>
      <c r="D13">
        <v>0.99896651816287674</v>
      </c>
    </row>
    <row r="14" spans="1:7" x14ac:dyDescent="0.25">
      <c r="A14">
        <v>32</v>
      </c>
      <c r="B14">
        <v>97455.798174003212</v>
      </c>
      <c r="C14">
        <v>0.85632667900370985</v>
      </c>
      <c r="D14">
        <v>0.99893376474667128</v>
      </c>
    </row>
    <row r="15" spans="1:7" x14ac:dyDescent="0.25">
      <c r="A15">
        <v>33</v>
      </c>
      <c r="B15">
        <v>97351.887366348805</v>
      </c>
      <c r="C15">
        <v>0.85724069925784674</v>
      </c>
      <c r="D15">
        <v>0.99889383569375345</v>
      </c>
    </row>
    <row r="16" spans="1:7" x14ac:dyDescent="0.25">
      <c r="A16">
        <v>34</v>
      </c>
      <c r="B16">
        <v>97244.20018339841</v>
      </c>
      <c r="C16">
        <v>0.8581899984020569</v>
      </c>
      <c r="D16">
        <v>0.99884620179726091</v>
      </c>
    </row>
    <row r="17" spans="1:4" x14ac:dyDescent="0.25">
      <c r="A17">
        <v>35</v>
      </c>
      <c r="B17">
        <v>97132</v>
      </c>
      <c r="C17">
        <v>0.85918132026520599</v>
      </c>
      <c r="D17">
        <v>0.998790246707837</v>
      </c>
    </row>
    <row r="18" spans="1:4" x14ac:dyDescent="0.25">
      <c r="A18">
        <v>36</v>
      </c>
      <c r="B18">
        <v>97014.494243225621</v>
      </c>
      <c r="C18">
        <v>0.86022197663342925</v>
      </c>
      <c r="D18">
        <v>0.99872523859455098</v>
      </c>
    </row>
    <row r="19" spans="1:4" x14ac:dyDescent="0.25">
      <c r="A19">
        <v>37</v>
      </c>
      <c r="B19">
        <v>96890.823910195206</v>
      </c>
      <c r="C19">
        <v>0.86131995406861894</v>
      </c>
      <c r="D19">
        <v>0.99865031793458958</v>
      </c>
    </row>
    <row r="20" spans="1:4" x14ac:dyDescent="0.25">
      <c r="A20">
        <v>38</v>
      </c>
      <c r="B20">
        <v>96760.052102860776</v>
      </c>
      <c r="C20">
        <v>0.86248403330006695</v>
      </c>
      <c r="D20">
        <v>0.99856449657217305</v>
      </c>
    </row>
    <row r="21" spans="1:4" x14ac:dyDescent="0.25">
      <c r="A21">
        <v>39</v>
      </c>
      <c r="B21">
        <v>96621.15271639041</v>
      </c>
      <c r="C21">
        <v>0.86372391193634768</v>
      </c>
      <c r="D21">
        <v>0.99846666374571957</v>
      </c>
    </row>
    <row r="22" spans="1:4" x14ac:dyDescent="0.25">
      <c r="A22">
        <v>40</v>
      </c>
      <c r="B22">
        <v>96473</v>
      </c>
      <c r="C22">
        <v>0.86505032496138801</v>
      </c>
      <c r="D22">
        <v>0.99835559534437179</v>
      </c>
    </row>
    <row r="23" spans="1:4" x14ac:dyDescent="0.25">
      <c r="A23">
        <v>41</v>
      </c>
      <c r="B23">
        <v>96314.359349657578</v>
      </c>
      <c r="C23">
        <v>0.86647516074971109</v>
      </c>
      <c r="D23">
        <v>0.99822996321855295</v>
      </c>
    </row>
    <row r="24" spans="1:4" x14ac:dyDescent="0.25">
      <c r="A24">
        <v>42</v>
      </c>
      <c r="B24">
        <v>96143.879391027178</v>
      </c>
      <c r="C24">
        <v>0.86801157316092759</v>
      </c>
      <c r="D24">
        <v>0.99808834193233587</v>
      </c>
    </row>
    <row r="25" spans="1:4" x14ac:dyDescent="0.25">
      <c r="A25">
        <v>43</v>
      </c>
      <c r="B25">
        <v>95960.085168332793</v>
      </c>
      <c r="C25">
        <v>0.86967409265639262</v>
      </c>
      <c r="D25">
        <v>0.99792921090595332</v>
      </c>
    </row>
    <row r="26" spans="1:4" x14ac:dyDescent="0.25">
      <c r="A26">
        <v>44</v>
      </c>
      <c r="B26">
        <v>95761.372070502417</v>
      </c>
      <c r="C26">
        <v>0.87147874132963166</v>
      </c>
      <c r="D26">
        <v>0.99775095045271645</v>
      </c>
    </row>
    <row r="27" spans="1:4" x14ac:dyDescent="0.25">
      <c r="A27">
        <v>45</v>
      </c>
      <c r="B27">
        <v>95546</v>
      </c>
      <c r="C27">
        <v>0.87344315826931518</v>
      </c>
      <c r="D27">
        <v>0.99755183076392107</v>
      </c>
    </row>
    <row r="28" spans="1:4" x14ac:dyDescent="0.25">
      <c r="A28">
        <v>46</v>
      </c>
      <c r="B28">
        <v>95312.087222169605</v>
      </c>
      <c r="C28">
        <v>0.87558674279654825</v>
      </c>
      <c r="D28">
        <v>0.99732999343643336</v>
      </c>
    </row>
    <row r="29" spans="1:4" x14ac:dyDescent="0.25">
      <c r="A29">
        <v>47</v>
      </c>
      <c r="B29">
        <v>95057.603323699179</v>
      </c>
      <c r="C29">
        <v>0.8779308238586081</v>
      </c>
      <c r="D29">
        <v>0.99708342566990349</v>
      </c>
    </row>
    <row r="30" spans="1:4" x14ac:dyDescent="0.25">
      <c r="A30">
        <v>48</v>
      </c>
      <c r="B30">
        <v>94780.36075796478</v>
      </c>
      <c r="C30">
        <v>0.88049886424374058</v>
      </c>
      <c r="D30">
        <v>0.99680992778448618</v>
      </c>
    </row>
    <row r="31" spans="1:4" x14ac:dyDescent="0.25">
      <c r="A31">
        <v>49</v>
      </c>
      <c r="B31">
        <v>94478.004562534421</v>
      </c>
      <c r="C31">
        <v>0.88331670833249121</v>
      </c>
      <c r="D31">
        <v>0.99650707522811843</v>
      </c>
    </row>
    <row r="32" spans="1:4" x14ac:dyDescent="0.25">
      <c r="A32">
        <v>50</v>
      </c>
      <c r="B32">
        <v>94148</v>
      </c>
      <c r="C32">
        <v>0.88641288184560463</v>
      </c>
      <c r="D32">
        <v>0.99617217675958725</v>
      </c>
    </row>
    <row r="33" spans="1:4" x14ac:dyDescent="0.25">
      <c r="A33">
        <v>51</v>
      </c>
      <c r="B33">
        <v>93787.618097561615</v>
      </c>
      <c r="C33">
        <v>0.88981895150794654</v>
      </c>
      <c r="D33">
        <v>0.99580223101794862</v>
      </c>
    </row>
    <row r="34" spans="1:4" x14ac:dyDescent="0.25">
      <c r="A34">
        <v>52</v>
      </c>
      <c r="B34">
        <v>93393.919343411195</v>
      </c>
      <c r="C34">
        <v>0.89356995173463127</v>
      </c>
      <c r="D34">
        <v>0.99539388423273478</v>
      </c>
    </row>
    <row r="35" spans="1:4" x14ac:dyDescent="0.25">
      <c r="A35">
        <v>53</v>
      </c>
      <c r="B35">
        <v>92963.73613895681</v>
      </c>
      <c r="C35">
        <v>0.89770488435681817</v>
      </c>
      <c r="D35">
        <v>0.99494339241091023</v>
      </c>
    </row>
    <row r="36" spans="1:4" x14ac:dyDescent="0.25">
      <c r="A36">
        <v>54</v>
      </c>
      <c r="B36">
        <v>92493.655005286419</v>
      </c>
      <c r="C36">
        <v>0.90226729601322619</v>
      </c>
      <c r="D36">
        <v>0.99444659198236829</v>
      </c>
    </row>
    <row r="37" spans="1:4" x14ac:dyDescent="0.25">
      <c r="A37">
        <v>55</v>
      </c>
      <c r="B37">
        <v>91980</v>
      </c>
      <c r="C37">
        <v>0.9073059360730592</v>
      </c>
      <c r="D37">
        <v>0.99389888363376366</v>
      </c>
    </row>
    <row r="38" spans="1:4" x14ac:dyDescent="0.25">
      <c r="A38">
        <v>56</v>
      </c>
      <c r="B38">
        <v>91418.819316633584</v>
      </c>
      <c r="C38">
        <v>0.91287549570021187</v>
      </c>
      <c r="D38">
        <v>0.99329523496527106</v>
      </c>
    </row>
    <row r="39" spans="1:4" x14ac:dyDescent="0.25">
      <c r="A39">
        <v>57</v>
      </c>
      <c r="B39">
        <v>90805.87761336322</v>
      </c>
      <c r="C39">
        <v>0.91903742569763658</v>
      </c>
      <c r="D39">
        <v>0.99263020874371277</v>
      </c>
    </row>
    <row r="40" spans="1:4" x14ac:dyDescent="0.25">
      <c r="A40">
        <v>58</v>
      </c>
      <c r="B40">
        <v>90136.657250508768</v>
      </c>
      <c r="C40">
        <v>0.92586082672295833</v>
      </c>
      <c r="D40">
        <v>0.99189802500750879</v>
      </c>
    </row>
    <row r="41" spans="1:4" x14ac:dyDescent="0.25">
      <c r="A41">
        <v>59</v>
      </c>
      <c r="B41">
        <v>89406.372307558398</v>
      </c>
      <c r="C41">
        <v>0.93342339976526256</v>
      </c>
      <c r="D41">
        <v>0.99109266725621237</v>
      </c>
    </row>
    <row r="42" spans="1:4" x14ac:dyDescent="0.25">
      <c r="A42">
        <v>60</v>
      </c>
      <c r="B42">
        <v>88610.000000000015</v>
      </c>
      <c r="C42">
        <v>0.94181243651957991</v>
      </c>
      <c r="D42">
        <v>0.99020804564028431</v>
      </c>
    </row>
    <row r="43" spans="1:4" x14ac:dyDescent="0.25">
      <c r="A43">
        <v>61</v>
      </c>
      <c r="B43">
        <v>87742.334924185605</v>
      </c>
      <c r="C43">
        <v>0.95112581711107891</v>
      </c>
      <c r="D43">
        <v>0.98923823374148523</v>
      </c>
    </row>
    <row r="44" spans="1:4" x14ac:dyDescent="0.25">
      <c r="A44">
        <v>62</v>
      </c>
      <c r="B44">
        <v>86798.072424755199</v>
      </c>
      <c r="C44">
        <v>0.96147296441802699</v>
      </c>
      <c r="D44">
        <v>0.98817780058625193</v>
      </c>
    </row>
    <row r="45" spans="1:4" x14ac:dyDescent="0.25">
      <c r="A45">
        <v>63</v>
      </c>
      <c r="B45">
        <v>85771.928303820794</v>
      </c>
      <c r="C45">
        <v>0.9729756768950063</v>
      </c>
      <c r="D45">
        <v>0.98702226647245839</v>
      </c>
    </row>
    <row r="46" spans="1:4" x14ac:dyDescent="0.25">
      <c r="A46">
        <v>64</v>
      </c>
      <c r="B46">
        <v>84658.803074150404</v>
      </c>
      <c r="C46">
        <v>0.98576872067166876</v>
      </c>
      <c r="D46">
        <v>0.98576872067166876</v>
      </c>
    </row>
    <row r="47" spans="1:4" x14ac:dyDescent="0.25">
      <c r="A47">
        <v>65</v>
      </c>
      <c r="B47">
        <v>83453.999999999985</v>
      </c>
      <c r="C47">
        <v>1</v>
      </c>
    </row>
    <row r="48" spans="1:4" x14ac:dyDescent="0.25">
      <c r="A48">
        <v>70</v>
      </c>
      <c r="B48">
        <v>75827</v>
      </c>
    </row>
    <row r="49" spans="1:2" x14ac:dyDescent="0.25">
      <c r="A49">
        <v>75</v>
      </c>
      <c r="B49">
        <v>65119</v>
      </c>
    </row>
    <row r="50" spans="1:2" x14ac:dyDescent="0.25">
      <c r="A50">
        <v>80</v>
      </c>
      <c r="B50">
        <v>51182</v>
      </c>
    </row>
    <row r="51" spans="1:2" x14ac:dyDescent="0.25">
      <c r="A51">
        <v>85</v>
      </c>
      <c r="B51">
        <v>35010</v>
      </c>
    </row>
    <row r="52" spans="1:2" x14ac:dyDescent="0.25">
      <c r="A52">
        <v>90</v>
      </c>
      <c r="B52">
        <v>19301</v>
      </c>
    </row>
    <row r="53" spans="1:2" x14ac:dyDescent="0.25">
      <c r="A53">
        <v>95</v>
      </c>
      <c r="B53">
        <v>7752</v>
      </c>
    </row>
    <row r="54" spans="1:2" x14ac:dyDescent="0.25">
      <c r="A54">
        <v>100</v>
      </c>
      <c r="B54">
        <v>2109</v>
      </c>
    </row>
  </sheetData>
  <hyperlinks>
    <hyperlink ref="G1" location="Ref!A1" display="INDICE" xr:uid="{7BCDA53A-AFF1-4B6B-8762-9A28D8E3E55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FDFA5-78DC-4DD1-A866-6F0F9CC6C6C5}">
  <dimension ref="A1:AF72"/>
  <sheetViews>
    <sheetView topLeftCell="A21" zoomScaleNormal="100" workbookViewId="0">
      <pane xSplit="1" topLeftCell="L1" activePane="topRight" state="frozen"/>
      <selection pane="topRight" activeCell="R39" sqref="R39"/>
    </sheetView>
  </sheetViews>
  <sheetFormatPr baseColWidth="10" defaultRowHeight="15" x14ac:dyDescent="0.25"/>
  <cols>
    <col min="1" max="1" width="25.140625" customWidth="1"/>
    <col min="2" max="2" width="23.85546875" customWidth="1"/>
    <col min="3" max="3" width="22" customWidth="1"/>
    <col min="4" max="4" width="20.85546875" customWidth="1"/>
    <col min="5" max="6" width="19.85546875" customWidth="1"/>
    <col min="7" max="10" width="21.42578125" customWidth="1"/>
    <col min="11" max="15" width="19.85546875" customWidth="1"/>
    <col min="16" max="16" width="21.42578125" bestFit="1" customWidth="1"/>
    <col min="17" max="18" width="23" bestFit="1" customWidth="1"/>
    <col min="19" max="21" width="23.140625" bestFit="1" customWidth="1"/>
    <col min="22" max="32" width="23" bestFit="1" customWidth="1"/>
  </cols>
  <sheetData>
    <row r="1" spans="1:32" s="13" customFormat="1" ht="12" customHeight="1" x14ac:dyDescent="0.2">
      <c r="A1" s="12" t="s">
        <v>29</v>
      </c>
      <c r="B1" s="13">
        <v>2010</v>
      </c>
      <c r="C1" s="13">
        <v>2011</v>
      </c>
      <c r="D1" s="13">
        <v>2012</v>
      </c>
      <c r="E1" s="13">
        <v>2013</v>
      </c>
      <c r="F1" s="13">
        <v>2014</v>
      </c>
      <c r="G1" s="13">
        <v>2015</v>
      </c>
      <c r="H1" s="13">
        <v>2016</v>
      </c>
      <c r="I1" s="13">
        <v>2017</v>
      </c>
      <c r="J1" s="13">
        <v>2018</v>
      </c>
      <c r="K1" s="13">
        <v>2019</v>
      </c>
      <c r="L1" s="13">
        <v>2020</v>
      </c>
      <c r="M1" s="13">
        <v>2021</v>
      </c>
      <c r="N1" s="13">
        <v>2022</v>
      </c>
      <c r="O1" s="13">
        <v>2023</v>
      </c>
      <c r="P1" s="13">
        <v>2024</v>
      </c>
      <c r="Q1" s="13">
        <v>2025</v>
      </c>
      <c r="R1" s="83">
        <v>2026</v>
      </c>
      <c r="S1" s="84">
        <v>2027</v>
      </c>
      <c r="T1" s="84">
        <v>2028</v>
      </c>
      <c r="U1" s="84">
        <v>2029</v>
      </c>
      <c r="V1" s="83">
        <v>2030</v>
      </c>
      <c r="W1" s="83">
        <v>2031</v>
      </c>
      <c r="X1" s="83">
        <v>2032</v>
      </c>
      <c r="Y1" s="83">
        <v>2033</v>
      </c>
      <c r="Z1" s="83">
        <v>2034</v>
      </c>
      <c r="AA1" s="83">
        <v>2035</v>
      </c>
      <c r="AB1" s="83">
        <v>2036</v>
      </c>
      <c r="AC1" s="83">
        <v>2037</v>
      </c>
      <c r="AD1" s="83">
        <v>2038</v>
      </c>
      <c r="AE1" s="83">
        <v>2039</v>
      </c>
      <c r="AF1" s="83">
        <v>2040</v>
      </c>
    </row>
    <row r="2" spans="1:32" s="97" customFormat="1" ht="12" customHeight="1" x14ac:dyDescent="0.2">
      <c r="A2" s="15" t="s">
        <v>30</v>
      </c>
      <c r="B2" s="16">
        <f>+HLOOKUP(B1,[7]proyeccion_pob!$A$1:$AF$103,103)</f>
        <v>40788453.000000045</v>
      </c>
      <c r="C2" s="16">
        <f>+HLOOKUP(C1,[7]proyeccion_pob!$A$1:$AF$103,103)</f>
        <v>41261489.999999963</v>
      </c>
      <c r="D2" s="16">
        <f>+HLOOKUP(D1,[7]proyeccion_pob!$A$1:$AF$103,103)</f>
        <v>41733271.00000003</v>
      </c>
      <c r="E2" s="16">
        <f>+HLOOKUP(E1,[7]proyeccion_pob!$A$1:$AF$103,103)</f>
        <v>42202934.999999978</v>
      </c>
      <c r="F2" s="16">
        <f>+HLOOKUP(F1,[7]proyeccion_pob!$A$1:$AF$103,103)</f>
        <v>42669499.999999911</v>
      </c>
      <c r="G2" s="16">
        <f>+HLOOKUP(G1,[7]proyeccion_pob!$A$1:$AF$103,103)</f>
        <v>43131966.000000037</v>
      </c>
      <c r="H2" s="16">
        <f>+HLOOKUP(H1,[7]proyeccion_pob!$A$1:$AF$103,103)</f>
        <v>43590368.000000097</v>
      </c>
      <c r="I2" s="16">
        <f>+HLOOKUP(I1,[7]proyeccion_pob!$A$1:$AF$103,103)</f>
        <v>44044811.000000022</v>
      </c>
      <c r="J2" s="16">
        <f>+HLOOKUP(J1,[7]proyeccion_pob!$A$1:$AF$103,103)</f>
        <v>44494501.999999978</v>
      </c>
      <c r="K2" s="16">
        <f>+HLOOKUP(K1,[7]proyeccion_pob!$A$1:$AF$103,103)</f>
        <v>44938711.999999985</v>
      </c>
      <c r="L2" s="16">
        <f>+HLOOKUP(L1,[7]proyeccion_pob!$A$1:$AF$103,103)</f>
        <v>45376762.999999985</v>
      </c>
      <c r="M2" s="16">
        <f>+HLOOKUP(M1,[7]proyeccion_pob!$A$1:$AF$103,103)</f>
        <v>45808746.99999997</v>
      </c>
      <c r="N2" s="16">
        <f>+HLOOKUP(N1,[7]proyeccion_pob!$A$1:$AF$103,103)</f>
        <v>46135579.000000022</v>
      </c>
      <c r="O2" s="16">
        <f>+HLOOKUP(O1,[7]proyeccion_pob!$A$1:$AF$103,103)</f>
        <v>46214462</v>
      </c>
      <c r="P2" s="16">
        <f>+HLOOKUP(P1,[7]proyeccion_pob!$A$1:$AF$103,103)</f>
        <v>46301742.999999978</v>
      </c>
      <c r="Q2" s="16">
        <f>+HLOOKUP(Q1,[7]proyeccion_pob!$A$1:$AF$103,103)</f>
        <v>46387098.00000003</v>
      </c>
      <c r="R2" s="85">
        <f>+HLOOKUP(R$1,proyeccion_pob!$A$1:$AF$105,103)</f>
        <v>46466688.000000067</v>
      </c>
      <c r="S2" s="85">
        <f>+HLOOKUP(S$1,proyeccion_pob!$A$1:$AF$105,103)</f>
        <v>46540071.000000037</v>
      </c>
      <c r="T2" s="85">
        <f>+HLOOKUP(T$1,proyeccion_pob!$A$1:$AF$105,103)</f>
        <v>46609532.999999955</v>
      </c>
      <c r="U2" s="85">
        <f>+HLOOKUP(U$1,proyeccion_pob!$A$1:$AF$105,103)</f>
        <v>46676998.999999993</v>
      </c>
      <c r="V2" s="85">
        <f>+HLOOKUP(V$1,proyeccion_pob!$A$1:$AF$105,103)</f>
        <v>46744389.000000037</v>
      </c>
      <c r="W2" s="85">
        <f>+HLOOKUP(W$1,proyeccion_pob!$A$1:$AF$105,103)</f>
        <v>46814264.000000075</v>
      </c>
      <c r="X2" s="85">
        <f>+HLOOKUP(X$1,proyeccion_pob!$A$1:$AF$105,103)</f>
        <v>46886737</v>
      </c>
      <c r="Y2" s="85">
        <f>+HLOOKUP(Y$1,proyeccion_pob!$A$1:$AF$105,103)</f>
        <v>46961802.999999978</v>
      </c>
      <c r="Z2" s="85">
        <f>+HLOOKUP(Z$1,proyeccion_pob!$A$1:$AF$105,103)</f>
        <v>47039273.999999993</v>
      </c>
      <c r="AA2" s="85">
        <f>+HLOOKUP(AA$1,proyeccion_pob!$A$1:$AF$105,103)</f>
        <v>47118715.99999994</v>
      </c>
      <c r="AB2" s="85">
        <f>+HLOOKUP(AB$1,proyeccion_pob!$A$1:$AF$105,103)</f>
        <v>47199435.999999978</v>
      </c>
      <c r="AC2" s="85">
        <f>+HLOOKUP(AC$1,proyeccion_pob!$A$1:$AF$105,103)</f>
        <v>47280504.000000037</v>
      </c>
      <c r="AD2" s="85">
        <f>+HLOOKUP(AD$1,proyeccion_pob!$A$1:$AF$105,103)</f>
        <v>47360804.000000007</v>
      </c>
      <c r="AE2" s="85">
        <f>+HLOOKUP(AE$1,proyeccion_pob!$A$1:$AF$105,103)</f>
        <v>47439107.999999978</v>
      </c>
      <c r="AF2" s="85">
        <f>+HLOOKUP(AF$1,proyeccion_pob!$A$1:$AF$105,103)</f>
        <v>47514115.999999985</v>
      </c>
    </row>
    <row r="3" spans="1:32" s="13" customFormat="1" ht="12" customHeight="1" x14ac:dyDescent="0.2">
      <c r="A3" s="17" t="s">
        <v>21</v>
      </c>
      <c r="B3" s="18">
        <f>+HLOOKUP(B1,[7]proyeccion_pob_raw!$A$200:$AF$201,2)</f>
        <v>5006017</v>
      </c>
      <c r="C3" s="18">
        <f>+HLOOKUP(C1,[7]proyeccion_pob_raw!$A$200:$AF$201,2)</f>
        <v>5110778</v>
      </c>
      <c r="D3" s="18">
        <f>+HLOOKUP(D1,[7]proyeccion_pob_raw!$A$200:$AF$201,2)</f>
        <v>5221132</v>
      </c>
      <c r="E3" s="18">
        <f>+HLOOKUP(E1,[7]proyeccion_pob_raw!$A$200:$AF$201,2)</f>
        <v>5336469</v>
      </c>
      <c r="F3" s="18">
        <f>+HLOOKUP(F1,[7]proyeccion_pob_raw!$A$200:$AF$201,2)</f>
        <v>5456063</v>
      </c>
      <c r="G3" s="18">
        <f>+HLOOKUP(G1,[7]proyeccion_pob_raw!$A$200:$AF$201,2)</f>
        <v>5579286</v>
      </c>
      <c r="H3" s="18">
        <f>+HLOOKUP(H1,[7]proyeccion_pob_raw!$A$200:$AF$201,2)</f>
        <v>5705593</v>
      </c>
      <c r="I3" s="18">
        <f>+HLOOKUP(I1,[7]proyeccion_pob_raw!$A$200:$AF$201,2)</f>
        <v>5834557</v>
      </c>
      <c r="J3" s="18">
        <f>+HLOOKUP(J1,[7]proyeccion_pob_raw!$A$200:$AF$201,2)</f>
        <v>5965976</v>
      </c>
      <c r="K3" s="18">
        <f>+HLOOKUP(K1,[7]proyeccion_pob_raw!$A$200:$AF$201,2)</f>
        <v>6099692</v>
      </c>
      <c r="L3" s="18">
        <f>+HLOOKUP(L1,[7]proyeccion_pob_raw!$A$200:$AF$201,2)</f>
        <v>6235500</v>
      </c>
      <c r="M3" s="18">
        <f>+HLOOKUP(M1,[7]proyeccion_pob_raw!$A$200:$AF$201,2)</f>
        <v>6373162</v>
      </c>
      <c r="N3" s="18">
        <f>+HLOOKUP(N1,[7]proyeccion_pob_raw!$A$200:$AF$201,2)</f>
        <v>6561658</v>
      </c>
      <c r="O3" s="18">
        <f>+HLOOKUP(O1,[7]proyeccion_pob_raw!$A$200:$AF$201,2)</f>
        <v>6653391</v>
      </c>
      <c r="P3" s="18">
        <f>+HLOOKUP(P1,[7]proyeccion_pob_raw!$A$200:$AF$201,2)</f>
        <v>6766575</v>
      </c>
      <c r="Q3" s="18">
        <f>+HLOOKUP(Q1,[7]proyeccion_pob_raw!$A$200:$AF$201,2)</f>
        <v>6881509</v>
      </c>
      <c r="R3" s="85">
        <f>+HLOOKUP(R$1,proyeccion_pob!$A$1:$AF$105,105)</f>
        <v>5922326.9999999991</v>
      </c>
      <c r="S3" s="85">
        <f>+HLOOKUP(S$1,proyeccion_pob!$A$1:$AF$105,105)</f>
        <v>6031328</v>
      </c>
      <c r="T3" s="85">
        <f>+HLOOKUP(T$1,proyeccion_pob!$A$1:$AF$105,105)</f>
        <v>6142648.0000000047</v>
      </c>
      <c r="U3" s="85">
        <f>+HLOOKUP(U$1,proyeccion_pob!$A$1:$AF$105,105)</f>
        <v>6255111.9999999972</v>
      </c>
      <c r="V3" s="85">
        <f>+HLOOKUP(V$1,proyeccion_pob!$A$1:$AF$105,105)</f>
        <v>6367718</v>
      </c>
      <c r="W3" s="85">
        <f>+HLOOKUP(W$1,proyeccion_pob!$A$1:$AF$105,105)</f>
        <v>6480544.0000000009</v>
      </c>
      <c r="X3" s="85">
        <f>+HLOOKUP(X$1,proyeccion_pob!$A$1:$AF$105,105)</f>
        <v>6594031.9999999981</v>
      </c>
      <c r="Y3" s="85">
        <f>+HLOOKUP(Y$1,proyeccion_pob!$A$1:$AF$105,105)</f>
        <v>6709837.0000000009</v>
      </c>
      <c r="Z3" s="85">
        <f>+HLOOKUP(Z$1,proyeccion_pob!$A$1:$AF$105,105)</f>
        <v>6831712.9999999972</v>
      </c>
      <c r="AA3" s="85">
        <f>+HLOOKUP(AA$1,proyeccion_pob!$A$1:$AF$105,105)</f>
        <v>6963334.9999999991</v>
      </c>
      <c r="AB3" s="85">
        <f>+HLOOKUP(AB$1,proyeccion_pob!$A$1:$AF$105,105)</f>
        <v>7105814.0000000019</v>
      </c>
      <c r="AC3" s="85">
        <f>+HLOOKUP(AC$1,proyeccion_pob!$A$1:$AF$105,105)</f>
        <v>7258199.0000000037</v>
      </c>
      <c r="AD3" s="85">
        <f>+HLOOKUP(AD$1,proyeccion_pob!$A$1:$AF$105,105)</f>
        <v>7421087.9999999972</v>
      </c>
      <c r="AE3" s="85">
        <f>+HLOOKUP(AE$1,proyeccion_pob!$A$1:$AF$105,105)</f>
        <v>7597415.0000000028</v>
      </c>
      <c r="AF3" s="85">
        <f>+HLOOKUP(AF$1,proyeccion_pob!$A$1:$AF$105,105)</f>
        <v>7789605.9999999981</v>
      </c>
    </row>
    <row r="4" spans="1:32" s="98" customFormat="1" ht="12" customHeight="1" x14ac:dyDescent="0.2">
      <c r="A4" s="19" t="s">
        <v>20</v>
      </c>
      <c r="B4" s="20">
        <f>+HLOOKUP(B1,[7]proyeccion_pob!$A$1:$AF$105,104)</f>
        <v>23176846.599999998</v>
      </c>
      <c r="C4" s="20">
        <f>+HLOOKUP(C1,[7]proyeccion_pob!$A$1:$AF$105,104)</f>
        <v>23513598.600000005</v>
      </c>
      <c r="D4" s="20">
        <f>+HLOOKUP(D1,[7]proyeccion_pob!$A$1:$AF$105,104)</f>
        <v>23848008.000000022</v>
      </c>
      <c r="E4" s="20">
        <f>+HLOOKUP(E1,[7]proyeccion_pob!$A$1:$AF$105,104)</f>
        <v>24178553.799999986</v>
      </c>
      <c r="F4" s="20">
        <f>+HLOOKUP(F1,[7]proyeccion_pob!$A$1:$AF$105,104)</f>
        <v>24503741.000000004</v>
      </c>
      <c r="G4" s="20">
        <f>+HLOOKUP(G1,[7]proyeccion_pob!$A$1:$AF$105,104)</f>
        <v>24822256.000000007</v>
      </c>
      <c r="H4" s="20">
        <f>+HLOOKUP(H1,[7]proyeccion_pob!$A$1:$AF$105,104)</f>
        <v>25132655.800000004</v>
      </c>
      <c r="I4" s="20">
        <f>+HLOOKUP(I1,[7]proyeccion_pob!$A$1:$AF$105,104)</f>
        <v>25434320.000000011</v>
      </c>
      <c r="J4" s="20">
        <f>+HLOOKUP(J1,[7]proyeccion_pob!$A$1:$AF$105,104)</f>
        <v>25728015.800000001</v>
      </c>
      <c r="K4" s="20">
        <f>+HLOOKUP(K1,[7]proyeccion_pob!$A$1:$AF$105,104)</f>
        <v>26014966.000000004</v>
      </c>
      <c r="L4" s="20">
        <f>+HLOOKUP(L1,[7]proyeccion_pob!$A$1:$AF$105,104)</f>
        <v>26296156.000000004</v>
      </c>
      <c r="M4" s="20">
        <f>+HLOOKUP(M1,[7]proyeccion_pob!$A$1:$AF$105,104)</f>
        <v>26572229.399999984</v>
      </c>
      <c r="N4" s="20">
        <f>+HLOOKUP(N1,[7]proyeccion_pob!$A$1:$AF$105,104)</f>
        <v>27275405.800000016</v>
      </c>
      <c r="O4" s="20">
        <f>+HLOOKUP(O1,[7]proyeccion_pob!$A$1:$AF$105,104)</f>
        <v>27527147.400000002</v>
      </c>
      <c r="P4" s="20">
        <f>+HLOOKUP(P1,[7]proyeccion_pob!$A$1:$AF$105,104)</f>
        <v>27793369.800000016</v>
      </c>
      <c r="Q4" s="20">
        <f>+HLOOKUP(Q1,[7]proyeccion_pob!$A$1:$AF$105,104)</f>
        <v>28067224.999999996</v>
      </c>
      <c r="R4" s="86">
        <f>+HLOOKUP(R$1,proyeccion_pob!$A$1:$AF$105,104)</f>
        <v>28334130.400000021</v>
      </c>
      <c r="S4" s="86">
        <f>+HLOOKUP(S$1,proyeccion_pob!$A$1:$AF$105,104)</f>
        <v>28593757.40000001</v>
      </c>
      <c r="T4" s="86">
        <f>+HLOOKUP(T$1,proyeccion_pob!$A$1:$AF$105,104)</f>
        <v>28861032.20000001</v>
      </c>
      <c r="U4" s="86">
        <f>+HLOOKUP(U$1,proyeccion_pob!$A$1:$AF$105,104)</f>
        <v>29139312.799999997</v>
      </c>
      <c r="V4" s="86">
        <f>+HLOOKUP(V$1,proyeccion_pob!$A$1:$AF$105,104)</f>
        <v>29415773.000000007</v>
      </c>
      <c r="W4" s="86">
        <f>+HLOOKUP(W$1,proyeccion_pob!$A$1:$AF$105,104)</f>
        <v>29683893.800000012</v>
      </c>
      <c r="X4" s="86">
        <f>+HLOOKUP(X$1,proyeccion_pob!$A$1:$AF$105,104)</f>
        <v>29939844.200000018</v>
      </c>
      <c r="Y4" s="86">
        <f>+HLOOKUP(Y$1,proyeccion_pob!$A$1:$AF$105,104)</f>
        <v>30187462.199999984</v>
      </c>
      <c r="Z4" s="86">
        <f>+HLOOKUP(Z$1,proyeccion_pob!$A$1:$AF$105,104)</f>
        <v>30429657.599999987</v>
      </c>
      <c r="AA4" s="86">
        <f>+HLOOKUP(AA$1,proyeccion_pob!$A$1:$AF$105,104)</f>
        <v>30644196.800000001</v>
      </c>
      <c r="AB4" s="86">
        <f>+HLOOKUP(AB$1,proyeccion_pob!$A$1:$AF$105,104)</f>
        <v>30807135.000000011</v>
      </c>
      <c r="AC4" s="86">
        <f>+HLOOKUP(AC$1,proyeccion_pob!$A$1:$AF$105,104)</f>
        <v>30927262.399999991</v>
      </c>
      <c r="AD4" s="86">
        <f>+HLOOKUP(AD$1,proyeccion_pob!$A$1:$AF$105,104)</f>
        <v>31010596.799999982</v>
      </c>
      <c r="AE4" s="86">
        <f>+HLOOKUP(AE$1,proyeccion_pob!$A$1:$AF$105,104)</f>
        <v>31038330.400000006</v>
      </c>
      <c r="AF4" s="86">
        <f>+HLOOKUP(AF$1,proyeccion_pob!$A$1:$AF$105,104)</f>
        <v>30992481</v>
      </c>
    </row>
    <row r="5" spans="1:32" s="13" customFormat="1" ht="12" customHeight="1" x14ac:dyDescent="0.25">
      <c r="A5" s="25" t="s">
        <v>2</v>
      </c>
      <c r="B5" s="30">
        <f t="shared" ref="B5:Q5" si="0">+B11/B4</f>
        <v>0.6353202522917748</v>
      </c>
      <c r="C5" s="30">
        <f t="shared" si="0"/>
        <v>0.66017949349680072</v>
      </c>
      <c r="D5" s="30">
        <f t="shared" si="0"/>
        <v>0.66849911414916519</v>
      </c>
      <c r="E5" s="30">
        <f t="shared" si="0"/>
        <v>0.67820344004913591</v>
      </c>
      <c r="F5" s="30">
        <f t="shared" si="0"/>
        <v>0.67272736896148533</v>
      </c>
      <c r="G5" s="30">
        <f t="shared" si="0"/>
        <v>0.66331022509353132</v>
      </c>
      <c r="H5" s="30">
        <f t="shared" si="0"/>
        <v>0.66991368486697145</v>
      </c>
      <c r="I5" s="30">
        <f t="shared" si="0"/>
        <v>0.68800062553964203</v>
      </c>
      <c r="J5" s="30">
        <f t="shared" si="0"/>
        <v>0.69751021064897245</v>
      </c>
      <c r="K5" s="30">
        <f t="shared" si="0"/>
        <v>0.69552734772093483</v>
      </c>
      <c r="L5" s="30">
        <f t="shared" si="0"/>
        <v>0.62798640640753445</v>
      </c>
      <c r="M5" s="30">
        <f t="shared" si="0"/>
        <v>0.54911261918458509</v>
      </c>
      <c r="N5" s="30">
        <f t="shared" si="0"/>
        <v>0.60604186220573075</v>
      </c>
      <c r="O5" s="30">
        <f t="shared" si="0"/>
        <v>0.67815011269530701</v>
      </c>
      <c r="P5" s="30">
        <f t="shared" si="0"/>
        <v>0.67097138548217294</v>
      </c>
      <c r="Q5" s="30">
        <f t="shared" si="0"/>
        <v>0.64920502606343322</v>
      </c>
      <c r="R5" s="36">
        <f>+constantes!$B$2</f>
        <v>0.65691619842857352</v>
      </c>
      <c r="S5" s="36">
        <f>+constantes!$B$2</f>
        <v>0.65691619842857352</v>
      </c>
      <c r="T5" s="36">
        <f>+constantes!$B$2</f>
        <v>0.65691619842857352</v>
      </c>
      <c r="U5" s="36">
        <f>+constantes!$B$2</f>
        <v>0.65691619842857352</v>
      </c>
      <c r="V5" s="36">
        <f>+constantes!$B$2</f>
        <v>0.65691619842857352</v>
      </c>
      <c r="W5" s="36">
        <f>+constantes!$B$2</f>
        <v>0.65691619842857352</v>
      </c>
      <c r="X5" s="36">
        <f>+constantes!$B$2</f>
        <v>0.65691619842857352</v>
      </c>
      <c r="Y5" s="36">
        <f>+constantes!$B$2</f>
        <v>0.65691619842857352</v>
      </c>
      <c r="Z5" s="36">
        <f>+constantes!$B$2</f>
        <v>0.65691619842857352</v>
      </c>
      <c r="AA5" s="36">
        <f>+constantes!$B$2</f>
        <v>0.65691619842857352</v>
      </c>
      <c r="AB5" s="36">
        <f>+constantes!$B$2</f>
        <v>0.65691619842857352</v>
      </c>
      <c r="AC5" s="36">
        <f>+constantes!$B$2</f>
        <v>0.65691619842857352</v>
      </c>
      <c r="AD5" s="36">
        <f>+constantes!$B$2</f>
        <v>0.65691619842857352</v>
      </c>
      <c r="AE5" s="36">
        <f>+constantes!$B$2</f>
        <v>0.65691619842857352</v>
      </c>
      <c r="AF5" s="36">
        <f>+constantes!$B$2</f>
        <v>0.65691619842857352</v>
      </c>
    </row>
    <row r="6" spans="1:32" s="13" customFormat="1" ht="12" customHeight="1" x14ac:dyDescent="0.2">
      <c r="A6" s="25" t="s">
        <v>33</v>
      </c>
      <c r="B6" s="48">
        <f>+VLOOKUP(B1,[7]informalidad!$A$1:$B$36,2)</f>
        <v>0.43</v>
      </c>
      <c r="C6" s="48">
        <f>+VLOOKUP(C1,[7]informalidad!$A$1:$B$36,2)</f>
        <v>0.43</v>
      </c>
      <c r="D6" s="48">
        <f>+VLOOKUP(D1,[7]informalidad!$A$1:$B$36,2)</f>
        <v>0.43</v>
      </c>
      <c r="E6" s="48">
        <f>+VLOOKUP(E1,[7]informalidad!$A$1:$B$36,2)</f>
        <v>0.43</v>
      </c>
      <c r="F6" s="48">
        <f>+VLOOKUP(F1,[7]informalidad!$A$1:$B$36,2)</f>
        <v>0.42</v>
      </c>
      <c r="G6" s="48">
        <f>+VLOOKUP(G1,[7]informalidad!$A$1:$B$36,2)</f>
        <v>0.41</v>
      </c>
      <c r="H6" s="48">
        <f>+VLOOKUP(H1,[7]informalidad!$A$1:$B$36,2)</f>
        <v>0.42</v>
      </c>
      <c r="I6" s="48">
        <f>+VLOOKUP(I1,[7]informalidad!$A$1:$B$36,2)</f>
        <v>0.43</v>
      </c>
      <c r="J6" s="48">
        <f>+VLOOKUP(J1,[7]informalidad!$A$1:$B$36,2)</f>
        <v>0.44</v>
      </c>
      <c r="K6" s="48">
        <f>+VLOOKUP(K1,[7]informalidad!$A$1:$B$36,2)</f>
        <v>0.45</v>
      </c>
      <c r="L6" s="48">
        <f>+VLOOKUP(L1,[7]informalidad!$A$1:$B$36,2)</f>
        <v>0.43</v>
      </c>
      <c r="M6" s="48">
        <f>+VLOOKUP(M1,[7]informalidad!$A$1:$B$36,2)</f>
        <v>0.32700000000000001</v>
      </c>
      <c r="N6" s="48">
        <f>+VLOOKUP(N1,[7]informalidad!$A$1:$B$36,2)</f>
        <v>0.36599999999999999</v>
      </c>
      <c r="O6" s="48">
        <f>+VLOOKUP(O1,[7]informalidad!$A$1:$B$36,2)</f>
        <v>0.41399999999999998</v>
      </c>
      <c r="P6" s="48">
        <f>+VLOOKUP(P1,[7]informalidad!$A$1:$B$36,2)</f>
        <v>0.41799999999999998</v>
      </c>
      <c r="Q6" s="48">
        <f>+VLOOKUP(Q1,[7]informalidad!$A$1:$B$36,2)</f>
        <v>0.42899999999999999</v>
      </c>
      <c r="R6" s="115">
        <f>constantes!B17+(HLOOKUP(R1,vector_shock_infor_1!$A$1:$O$2,2)/100)</f>
        <v>0.40243454999999995</v>
      </c>
      <c r="S6" s="48">
        <f>+R6+(HLOOKUP(S1,vector_shock_infor_1!$A$1:$O$2,2)/100)</f>
        <v>0.38327899999999993</v>
      </c>
      <c r="T6" s="48">
        <f>+S6+(HLOOKUP(T1,vector_shock_infor_1!$A$1:$O$2,2)/100)</f>
        <v>0.39020414999999992</v>
      </c>
      <c r="U6" s="48">
        <f>+T6+(HLOOKUP(U1,vector_shock_infor_1!$A$1:$O$2,2)/100)</f>
        <v>0.34349852999999991</v>
      </c>
      <c r="V6" s="48">
        <f>+U6+(HLOOKUP(V1,vector_shock_infor_1!$A$1:$O$2,2)/100)</f>
        <v>0.35738334999999993</v>
      </c>
      <c r="W6" s="48">
        <f>+V6+(HLOOKUP(W1,vector_shock_infor_1!$A$1:$O$2,2)/100)</f>
        <v>0.37108904999999992</v>
      </c>
      <c r="X6" s="48">
        <f>+W6+(HLOOKUP(X1,vector_shock_infor_1!$A$1:$O$2,2)/100)</f>
        <v>0.36393294999999992</v>
      </c>
      <c r="Y6" s="48">
        <f>+X6+(HLOOKUP(Y1,vector_shock_infor_1!$A$1:$O$2,2)/100)</f>
        <v>0.41494782999999991</v>
      </c>
      <c r="Z6" s="48">
        <f>+Y6+(HLOOKUP(Z1,vector_shock_infor_1!$A$1:$O$2,2)/100)</f>
        <v>0.44490256999999989</v>
      </c>
      <c r="AA6" s="48">
        <f>+Z6+(HLOOKUP(AA1,vector_shock_infor_1!$A$1:$O$2,2)/100)</f>
        <v>0.47175760999999988</v>
      </c>
      <c r="AB6" s="48">
        <f>+AA6+(HLOOKUP(AB1,vector_shock_infor_1!$A$1:$O$2,2)/100)</f>
        <v>0.42841067999999988</v>
      </c>
      <c r="AC6" s="48">
        <f>+AB6+(HLOOKUP(AC1,vector_shock_infor_1!$A$1:$O$2,2)/100)</f>
        <v>0.42641351999999988</v>
      </c>
      <c r="AD6" s="48">
        <f>+AC6+(HLOOKUP(AD1,vector_shock_infor_1!$A$1:$O$2,2)/100)</f>
        <v>0.44251377999999986</v>
      </c>
      <c r="AE6" s="48">
        <f>+AD6+(HLOOKUP(AE1,vector_shock_infor_1!$A$1:$O$2,2)/100)</f>
        <v>0.47655470999999983</v>
      </c>
      <c r="AF6" s="48">
        <f>+AE6+(HLOOKUP(AF1,vector_shock_infor_1!$A$1:$O$2,2)/100)</f>
        <v>0.49431874999999981</v>
      </c>
    </row>
    <row r="7" spans="1:32" s="13" customFormat="1" ht="12" customHeight="1" x14ac:dyDescent="0.2">
      <c r="A7" s="21" t="s">
        <v>31</v>
      </c>
      <c r="B7" s="22">
        <f>+HLOOKUP(B1,[7]sipa_activos!$B$2:$AF$3,2)</f>
        <v>8393090.416666666</v>
      </c>
      <c r="C7" s="22">
        <f>+HLOOKUP(C1,[7]sipa_activos!$B$2:$AF$3,2)</f>
        <v>8848221.5</v>
      </c>
      <c r="D7" s="22">
        <f>+HLOOKUP(D1,[7]sipa_activos!$B$2:$AF$3,2)</f>
        <v>9087152.166666666</v>
      </c>
      <c r="E7" s="22">
        <f>+HLOOKUP(E1,[7]sipa_activos!$B$2:$AF$3,2)</f>
        <v>9346847.666666666</v>
      </c>
      <c r="F7" s="22">
        <f>+HLOOKUP(F1,[7]sipa_activos!$B$2:$AF$3,2)</f>
        <v>9560915.583333334</v>
      </c>
      <c r="G7" s="22">
        <f>+HLOOKUP(G1,[7]sipa_activos!$B$2:$AF$3,2)</f>
        <v>9714265.166666666</v>
      </c>
      <c r="H7" s="22">
        <f>+HLOOKUP(H1,[7]sipa_activos!$B$2:$AF$3,2)</f>
        <v>9765291.833333334</v>
      </c>
      <c r="I7" s="22">
        <f>+HLOOKUP(I1,[7]sipa_activos!$B$2:$AF$3,2)</f>
        <v>9974332</v>
      </c>
      <c r="J7" s="22">
        <f>+HLOOKUP(J1,[7]sipa_activos!$B$2:$AF$3,2)</f>
        <v>10049510.083333334</v>
      </c>
      <c r="K7" s="22">
        <f>+HLOOKUP(K1,[7]sipa_activos!$B$2:$AF$3,2)</f>
        <v>9951766.166666666</v>
      </c>
      <c r="L7" s="22">
        <f>+HLOOKUP(L1,[7]sipa_activos!$B$2:$AF$3,2)</f>
        <v>9412768.25</v>
      </c>
      <c r="M7" s="22">
        <f>+HLOOKUP(M1,[7]sipa_activos!$B$2:$AF$3,2)</f>
        <v>9819841.583333334</v>
      </c>
      <c r="N7" s="22">
        <f>+HLOOKUP(N1,[7]sipa_activos!$B$2:$AF$3,2)</f>
        <v>10480043.916666666</v>
      </c>
      <c r="O7" s="22">
        <f>+HLOOKUP(O1,[7]sipa_activos!$B$2:$AF$3,2)</f>
        <v>10939177.333333334</v>
      </c>
      <c r="P7" s="22">
        <f>+HLOOKUP(P1,[7]sipa_activos!$B$2:$AF$3,2)</f>
        <v>10853459.5</v>
      </c>
      <c r="Q7" s="22">
        <f>+HLOOKUP(Q1,[7]sipa_activos!$B$2:$AF$3,2)</f>
        <v>10404410</v>
      </c>
      <c r="R7" s="87">
        <f>+R4*R5*(1-R6)</f>
        <v>11122574.89443511</v>
      </c>
      <c r="S7" s="87">
        <f t="shared" ref="S7:AF7" si="1">+S4*S5*(1-S6)</f>
        <v>11584303.733995698</v>
      </c>
      <c r="T7" s="87">
        <f t="shared" si="1"/>
        <v>11561289.991963416</v>
      </c>
      <c r="U7" s="87">
        <f t="shared" si="1"/>
        <v>12566807.984806463</v>
      </c>
      <c r="V7" s="87">
        <f t="shared" si="1"/>
        <v>12417729.928496359</v>
      </c>
      <c r="W7" s="87">
        <f t="shared" si="1"/>
        <v>12263657.031290928</v>
      </c>
      <c r="X7" s="87">
        <f t="shared" si="1"/>
        <v>12510146.788144223</v>
      </c>
      <c r="Y7" s="87">
        <f t="shared" si="1"/>
        <v>11601954.815667542</v>
      </c>
      <c r="Z7" s="87">
        <f t="shared" si="1"/>
        <v>11096250.519371789</v>
      </c>
      <c r="AA7" s="87">
        <f t="shared" si="1"/>
        <v>10633872.845240943</v>
      </c>
      <c r="AB7" s="87">
        <f t="shared" si="1"/>
        <v>11567656.615858952</v>
      </c>
      <c r="AC7" s="87">
        <f t="shared" si="1"/>
        <v>11653338.346877664</v>
      </c>
      <c r="AD7" s="87">
        <f t="shared" si="1"/>
        <v>11356754.356290821</v>
      </c>
      <c r="AE7" s="87">
        <f t="shared" si="1"/>
        <v>10672830.669217689</v>
      </c>
      <c r="AF7" s="87">
        <f t="shared" si="1"/>
        <v>10295398.597218255</v>
      </c>
    </row>
    <row r="8" spans="1:32" s="99" customFormat="1" ht="38.25" customHeight="1" x14ac:dyDescent="0.25">
      <c r="A8" s="23" t="s">
        <v>32</v>
      </c>
      <c r="B8" s="24">
        <f>+HLOOKUP(B1,[7]ndc_arg_prom!$A$11:$Q$20,10)</f>
        <v>210700.64066628533</v>
      </c>
      <c r="C8" s="24">
        <f>+HLOOKUP(C1,[7]ndc_arg_prom!$A$11:$Q$20,10)</f>
        <v>243417.42383081792</v>
      </c>
      <c r="D8" s="24">
        <f>+HLOOKUP(D1,[7]ndc_arg_prom!$A$11:$Q$20,10)</f>
        <v>282617.68422340148</v>
      </c>
      <c r="E8" s="24">
        <f>+HLOOKUP(E1,[7]ndc_arg_prom!$A$11:$Q$20,10)</f>
        <v>309612.17849563173</v>
      </c>
      <c r="F8" s="24">
        <f>+HLOOKUP(F1,[7]ndc_arg_prom!$A$11:$Q$20,10)</f>
        <v>313440.56332566193</v>
      </c>
      <c r="G8" s="24">
        <f>+HLOOKUP(G1,[7]ndc_arg_prom!$A$11:$Q$20,10)</f>
        <v>354556.65748879564</v>
      </c>
      <c r="H8" s="24">
        <f>+HLOOKUP(H1,[7]ndc_arg_prom!$A$11:$Q$20,10)</f>
        <v>337749.83623427612</v>
      </c>
      <c r="I8" s="24">
        <f>+HLOOKUP(I1,[7]ndc_arg_prom!$A$11:$Q$20,10)</f>
        <v>342677.50027780765</v>
      </c>
      <c r="J8" s="24">
        <f>+HLOOKUP(J1,[7]ndc_arg_prom!$A$11:$Q$20,10)</f>
        <v>292295.21839632205</v>
      </c>
      <c r="K8" s="24">
        <f>+HLOOKUP(K1,[7]ndc_arg_prom!$A$11:$Q$20,10)</f>
        <v>266326.16663318389</v>
      </c>
      <c r="L8" s="24">
        <f>+HLOOKUP(L1,[7]ndc_arg_prom!$A$11:$Q$20,10)</f>
        <v>269363.24788382242</v>
      </c>
      <c r="M8" s="24">
        <f>+HLOOKUP(M1,[7]ndc_arg_prom!$A$11:$Q$20,10)</f>
        <v>259373.27452959231</v>
      </c>
      <c r="N8" s="24">
        <f>+HLOOKUP(N1,[7]ndc_arg_prom!$A$11:$Q$20,10)</f>
        <v>229258.47132984642</v>
      </c>
      <c r="O8" s="24">
        <f>+HLOOKUP(O1,[7]ndc_arg_prom!$A$11:$Q$20,10)</f>
        <v>168196.81416258716</v>
      </c>
      <c r="P8" s="24">
        <f>+HLOOKUP(P1,[7]ndc_arg_prom!$A$11:$Q$20,10)</f>
        <v>222807.89804103278</v>
      </c>
      <c r="Q8" s="24">
        <f>+HLOOKUP(Q1,[7]ndc_arg_prom!$A$11:$Q$20,10)</f>
        <v>296699.46922704665</v>
      </c>
      <c r="R8" s="88">
        <f>+$Q$8</f>
        <v>296699.46922704665</v>
      </c>
      <c r="S8" s="88">
        <f t="shared" ref="S8:AF8" si="2">+$Q$8</f>
        <v>296699.46922704665</v>
      </c>
      <c r="T8" s="88">
        <f t="shared" si="2"/>
        <v>296699.46922704665</v>
      </c>
      <c r="U8" s="88">
        <f t="shared" si="2"/>
        <v>296699.46922704665</v>
      </c>
      <c r="V8" s="88">
        <f t="shared" si="2"/>
        <v>296699.46922704665</v>
      </c>
      <c r="W8" s="88">
        <f t="shared" si="2"/>
        <v>296699.46922704665</v>
      </c>
      <c r="X8" s="88">
        <f t="shared" si="2"/>
        <v>296699.46922704665</v>
      </c>
      <c r="Y8" s="88">
        <f t="shared" si="2"/>
        <v>296699.46922704665</v>
      </c>
      <c r="Z8" s="114">
        <f t="shared" si="2"/>
        <v>296699.46922704665</v>
      </c>
      <c r="AA8" s="88">
        <f t="shared" si="2"/>
        <v>296699.46922704665</v>
      </c>
      <c r="AB8" s="88">
        <f t="shared" si="2"/>
        <v>296699.46922704665</v>
      </c>
      <c r="AC8" s="88">
        <f t="shared" si="2"/>
        <v>296699.46922704665</v>
      </c>
      <c r="AD8" s="88">
        <f t="shared" si="2"/>
        <v>296699.46922704665</v>
      </c>
      <c r="AE8" s="88">
        <f t="shared" si="2"/>
        <v>296699.46922704665</v>
      </c>
      <c r="AF8" s="88">
        <f t="shared" si="2"/>
        <v>296699.46922704665</v>
      </c>
    </row>
    <row r="9" spans="1:32" s="13" customFormat="1" ht="12" customHeight="1" x14ac:dyDescent="0.2">
      <c r="A9" s="25" t="s">
        <v>34</v>
      </c>
      <c r="B9" s="26">
        <f t="shared" ref="B9:Q9" si="3">+B7/B4</f>
        <v>0.36213254380631171</v>
      </c>
      <c r="C9" s="26">
        <f t="shared" si="3"/>
        <v>0.37630231129317643</v>
      </c>
      <c r="D9" s="26">
        <f t="shared" si="3"/>
        <v>0.38104449506502419</v>
      </c>
      <c r="E9" s="26">
        <f t="shared" si="3"/>
        <v>0.38657596082800749</v>
      </c>
      <c r="F9" s="26">
        <f t="shared" si="3"/>
        <v>0.39018187399766152</v>
      </c>
      <c r="G9" s="26">
        <f t="shared" si="3"/>
        <v>0.39135303280518352</v>
      </c>
      <c r="H9" s="26">
        <f t="shared" si="3"/>
        <v>0.38854993722284342</v>
      </c>
      <c r="I9" s="26">
        <f t="shared" si="3"/>
        <v>0.39216035655759601</v>
      </c>
      <c r="J9" s="26">
        <f t="shared" si="3"/>
        <v>0.39060571796342469</v>
      </c>
      <c r="K9" s="26">
        <f t="shared" si="3"/>
        <v>0.3825400412465142</v>
      </c>
      <c r="L9" s="26">
        <f t="shared" si="3"/>
        <v>0.35795225165229466</v>
      </c>
      <c r="M9" s="26">
        <f t="shared" si="3"/>
        <v>0.36955279271122582</v>
      </c>
      <c r="N9" s="26">
        <f t="shared" si="3"/>
        <v>0.38423054063843332</v>
      </c>
      <c r="O9" s="26">
        <f t="shared" si="3"/>
        <v>0.39739596603944993</v>
      </c>
      <c r="P9" s="26">
        <f t="shared" si="3"/>
        <v>0.39050534635062473</v>
      </c>
      <c r="Q9" s="26">
        <f t="shared" si="3"/>
        <v>0.37069606988222031</v>
      </c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</row>
    <row r="10" spans="1:32" s="13" customFormat="1" ht="12" customHeight="1" x14ac:dyDescent="0.2">
      <c r="A10" s="27" t="s">
        <v>35</v>
      </c>
      <c r="B10" s="28">
        <f t="shared" ref="B10:R10" si="4">+B7*B8*13</f>
        <v>22989583863502.438</v>
      </c>
      <c r="C10" s="28">
        <f t="shared" si="4"/>
        <v>27999546679187.922</v>
      </c>
      <c r="D10" s="28">
        <f t="shared" si="4"/>
        <v>33386468719876.98</v>
      </c>
      <c r="E10" s="28">
        <f t="shared" si="4"/>
        <v>37620672285865.219</v>
      </c>
      <c r="F10" s="28">
        <f t="shared" si="4"/>
        <v>38958123962538.305</v>
      </c>
      <c r="G10" s="28">
        <f t="shared" si="4"/>
        <v>44775346036891.227</v>
      </c>
      <c r="H10" s="28">
        <f t="shared" si="4"/>
        <v>42876934327347.219</v>
      </c>
      <c r="I10" s="28">
        <f t="shared" si="4"/>
        <v>44433729037112.297</v>
      </c>
      <c r="J10" s="28">
        <f t="shared" si="4"/>
        <v>38186508679591.445</v>
      </c>
      <c r="K10" s="28">
        <f t="shared" si="4"/>
        <v>34455404547175.93</v>
      </c>
      <c r="L10" s="28">
        <f t="shared" si="4"/>
        <v>32960899756170.402</v>
      </c>
      <c r="M10" s="28">
        <f t="shared" si="4"/>
        <v>33111058068803.305</v>
      </c>
      <c r="N10" s="28">
        <f t="shared" si="4"/>
        <v>31234305021460.531</v>
      </c>
      <c r="O10" s="28">
        <f t="shared" si="4"/>
        <v>23919152101341.285</v>
      </c>
      <c r="P10" s="28">
        <f t="shared" si="4"/>
        <v>31437074469690.219</v>
      </c>
      <c r="Q10" s="28">
        <f t="shared" si="4"/>
        <v>40130778020067.492</v>
      </c>
      <c r="R10" s="89">
        <f t="shared" si="4"/>
        <v>42900806879020.625</v>
      </c>
      <c r="S10" s="89">
        <f t="shared" ref="S10:AF10" si="5">+S7*S8*13</f>
        <v>44681738000138.438</v>
      </c>
      <c r="T10" s="89">
        <f t="shared" si="5"/>
        <v>44592971854541.656</v>
      </c>
      <c r="U10" s="89">
        <f t="shared" si="5"/>
        <v>48471348366613.758</v>
      </c>
      <c r="V10" s="89">
        <f t="shared" si="5"/>
        <v>47896340424265.859</v>
      </c>
      <c r="W10" s="89">
        <f t="shared" si="5"/>
        <v>47302066915565.242</v>
      </c>
      <c r="X10" s="89">
        <f t="shared" si="5"/>
        <v>48252800855932.836</v>
      </c>
      <c r="Y10" s="89">
        <f t="shared" si="5"/>
        <v>44749819865461.586</v>
      </c>
      <c r="Z10" s="89">
        <f t="shared" si="5"/>
        <v>42799271313603.359</v>
      </c>
      <c r="AA10" s="89">
        <f t="shared" si="5"/>
        <v>41015837577141.594</v>
      </c>
      <c r="AB10" s="89">
        <f t="shared" si="5"/>
        <v>44617528515639.109</v>
      </c>
      <c r="AC10" s="89">
        <f t="shared" si="5"/>
        <v>44948010929143.297</v>
      </c>
      <c r="AD10" s="89">
        <f t="shared" si="5"/>
        <v>43804058865494.672</v>
      </c>
      <c r="AE10" s="89">
        <f t="shared" si="5"/>
        <v>41166101531191.43</v>
      </c>
      <c r="AF10" s="89">
        <f t="shared" si="5"/>
        <v>39710310890581.977</v>
      </c>
    </row>
    <row r="11" spans="1:32" x14ac:dyDescent="0.25">
      <c r="A11" s="82" t="s">
        <v>36</v>
      </c>
      <c r="B11" s="79">
        <f t="shared" ref="B11:Q11" si="6">+B7/(1-B6)</f>
        <v>14724720.029239763</v>
      </c>
      <c r="C11" s="79">
        <f t="shared" si="6"/>
        <v>15523195.614035087</v>
      </c>
      <c r="D11" s="79">
        <f t="shared" si="6"/>
        <v>15942372.22222222</v>
      </c>
      <c r="E11" s="79">
        <f t="shared" si="6"/>
        <v>16397978.362573097</v>
      </c>
      <c r="F11" s="79">
        <f t="shared" si="6"/>
        <v>16484337.212643677</v>
      </c>
      <c r="G11" s="79">
        <f t="shared" si="6"/>
        <v>16464856.214689262</v>
      </c>
      <c r="H11" s="79">
        <f t="shared" si="6"/>
        <v>16836710.057471264</v>
      </c>
      <c r="I11" s="79">
        <f t="shared" si="6"/>
        <v>17498828.070175435</v>
      </c>
      <c r="J11" s="79">
        <f t="shared" si="6"/>
        <v>17945553.720238093</v>
      </c>
      <c r="K11" s="79">
        <f t="shared" si="6"/>
        <v>18094120.303030301</v>
      </c>
      <c r="L11" s="79">
        <f t="shared" si="6"/>
        <v>16513628.508771928</v>
      </c>
      <c r="M11" s="79">
        <f t="shared" si="6"/>
        <v>14591146.483407628</v>
      </c>
      <c r="N11" s="79">
        <f t="shared" si="6"/>
        <v>16530037.723448999</v>
      </c>
      <c r="O11" s="79">
        <f t="shared" si="6"/>
        <v>18667538.111490328</v>
      </c>
      <c r="P11" s="79">
        <f t="shared" si="6"/>
        <v>18648555.841924395</v>
      </c>
      <c r="Q11" s="79">
        <f t="shared" si="6"/>
        <v>18221383.537653241</v>
      </c>
      <c r="R11" s="87">
        <f>+R4*R5</f>
        <v>18613149.228147492</v>
      </c>
      <c r="S11" s="87">
        <f t="shared" ref="S11:AF11" si="7">+S4*S5</f>
        <v>18783702.409996897</v>
      </c>
      <c r="T11" s="87">
        <f t="shared" si="7"/>
        <v>18959279.555548657</v>
      </c>
      <c r="U11" s="87">
        <f t="shared" si="7"/>
        <v>19142086.589397069</v>
      </c>
      <c r="V11" s="87">
        <f t="shared" si="7"/>
        <v>19323697.772997878</v>
      </c>
      <c r="W11" s="87">
        <f t="shared" si="7"/>
        <v>19499830.669653513</v>
      </c>
      <c r="X11" s="87">
        <f t="shared" si="7"/>
        <v>19667968.633407786</v>
      </c>
      <c r="Y11" s="87">
        <f t="shared" si="7"/>
        <v>19830632.908630252</v>
      </c>
      <c r="Z11" s="87">
        <f t="shared" si="7"/>
        <v>19989734.990075141</v>
      </c>
      <c r="AA11" s="87">
        <f t="shared" si="7"/>
        <v>20130669.265753057</v>
      </c>
      <c r="AB11" s="87">
        <f t="shared" si="7"/>
        <v>20237706.008675858</v>
      </c>
      <c r="AC11" s="87">
        <f t="shared" si="7"/>
        <v>20316619.643610954</v>
      </c>
      <c r="AD11" s="87">
        <f t="shared" si="7"/>
        <v>20371363.360857274</v>
      </c>
      <c r="AE11" s="87">
        <f t="shared" si="7"/>
        <v>20389582.011938028</v>
      </c>
      <c r="AF11" s="87">
        <f t="shared" si="7"/>
        <v>20359462.798389796</v>
      </c>
    </row>
    <row r="12" spans="1:32" x14ac:dyDescent="0.25">
      <c r="A12" s="31" t="s">
        <v>37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</row>
    <row r="13" spans="1:32" x14ac:dyDescent="0.25">
      <c r="A13" s="33" t="s">
        <v>38</v>
      </c>
      <c r="B13" s="34">
        <f>+HLOOKUP(B1,[7]sipa_pasivos!$B$19:$Z$21,2)</f>
        <v>4224397.666666666</v>
      </c>
      <c r="C13" s="34">
        <f>+HLOOKUP(C1,[7]sipa_pasivos!$B$19:$Z$21,2)</f>
        <v>4281335.166666667</v>
      </c>
      <c r="D13" s="34">
        <f>+HLOOKUP(D1,[7]sipa_pasivos!$B$19:$Z$21,2)</f>
        <v>4309367.583333333</v>
      </c>
      <c r="E13" s="34">
        <f>+HLOOKUP(E1,[7]sipa_pasivos!$B$19:$Z$21,2)</f>
        <v>4332215.833333334</v>
      </c>
      <c r="F13" s="34">
        <f>+HLOOKUP(F1,[7]sipa_pasivos!$B$19:$Z$21,2)</f>
        <v>4357746.333333333</v>
      </c>
      <c r="G13" s="34">
        <f>+HLOOKUP(G1,[7]sipa_pasivos!$B$19:$Z$21,2)</f>
        <v>4815401.416666667</v>
      </c>
      <c r="H13" s="34">
        <f>+HLOOKUP(H1,[7]sipa_pasivos!$B$19:$Z$21,2)</f>
        <v>5111177.666666667</v>
      </c>
      <c r="I13" s="34">
        <f>+HLOOKUP(I1,[7]sipa_pasivos!$B$19:$Z$21,2)</f>
        <v>5249685.916666666</v>
      </c>
      <c r="J13" s="34">
        <f>+HLOOKUP(J1,[7]sipa_pasivos!$B$19:$Z$21,2)</f>
        <v>5265956</v>
      </c>
      <c r="K13" s="34">
        <f>+HLOOKUP(K1,[7]sipa_pasivos!$B$19:$Z$21,2)</f>
        <v>5266852.083333333</v>
      </c>
      <c r="L13" s="34">
        <f>+HLOOKUP(L1,[7]sipa_pasivos!$B$19:$Z$21,2)</f>
        <v>5237572.75</v>
      </c>
      <c r="M13" s="34">
        <f>+HLOOKUP(M1,[7]sipa_pasivos!$B$19:$Z$21,2)</f>
        <v>5163554.416666666</v>
      </c>
      <c r="N13" s="34">
        <f>+HLOOKUP(N1,[7]sipa_pasivos!$B$19:$Z$21,2)</f>
        <v>5252570.583333334</v>
      </c>
      <c r="O13" s="34">
        <f>+HLOOKUP(O1,[7]sipa_pasivos!$B$19:$Z$21,2)</f>
        <v>5361290.5</v>
      </c>
      <c r="P13" s="34">
        <f>+HLOOKUP(P1,[7]sipa_pasivos!$B$19:$Z$21,2)</f>
        <v>5630922.583333334</v>
      </c>
      <c r="Q13" s="34">
        <f>+HLOOKUP(Q1,[7]sipa_pasivos!$B$19:$Z$21,2)</f>
        <v>5779442.25</v>
      </c>
      <c r="R13" s="104">
        <f>+R3*R14</f>
        <v>4978720.8961901935</v>
      </c>
      <c r="S13" s="104">
        <f t="shared" ref="S13:AF13" si="8">+S3*S14</f>
        <v>5070354.7347819544</v>
      </c>
      <c r="T13" s="104">
        <f t="shared" si="8"/>
        <v>5163938.0864212541</v>
      </c>
      <c r="U13" s="104">
        <f t="shared" si="8"/>
        <v>5258483.164203871</v>
      </c>
      <c r="V13" s="104">
        <f t="shared" si="8"/>
        <v>5353147.6170847081</v>
      </c>
      <c r="W13" s="104">
        <f t="shared" si="8"/>
        <v>5447997.0173007986</v>
      </c>
      <c r="X13" s="104">
        <f t="shared" si="8"/>
        <v>5543402.9408620642</v>
      </c>
      <c r="Y13" s="104">
        <f t="shared" si="8"/>
        <v>5640756.6961314576</v>
      </c>
      <c r="Z13" s="104">
        <f t="shared" si="8"/>
        <v>5743214.157184192</v>
      </c>
      <c r="AA13" s="104">
        <f t="shared" si="8"/>
        <v>5853864.7851887504</v>
      </c>
      <c r="AB13" s="104">
        <f t="shared" si="8"/>
        <v>5973642.5641881702</v>
      </c>
      <c r="AC13" s="104">
        <f t="shared" si="8"/>
        <v>6101748.0172923226</v>
      </c>
      <c r="AD13" s="104">
        <f t="shared" si="8"/>
        <v>6238683.8649852127</v>
      </c>
      <c r="AE13" s="104">
        <f t="shared" si="8"/>
        <v>6386916.6321834028</v>
      </c>
      <c r="AF13" s="104">
        <f t="shared" si="8"/>
        <v>6548485.7835929189</v>
      </c>
    </row>
    <row r="14" spans="1:32" x14ac:dyDescent="0.25">
      <c r="A14" s="25" t="s">
        <v>39</v>
      </c>
      <c r="B14" s="35">
        <f t="shared" ref="B14:Q14" si="9">+B13/B3</f>
        <v>0.84386402736280486</v>
      </c>
      <c r="C14" s="35">
        <f t="shared" si="9"/>
        <v>0.837707129260294</v>
      </c>
      <c r="D14" s="35">
        <f t="shared" si="9"/>
        <v>0.82537035710518969</v>
      </c>
      <c r="E14" s="35">
        <f t="shared" si="9"/>
        <v>0.81181317334239811</v>
      </c>
      <c r="F14" s="35">
        <f t="shared" si="9"/>
        <v>0.79869795002978028</v>
      </c>
      <c r="G14" s="35">
        <f t="shared" si="9"/>
        <v>0.86308560211228946</v>
      </c>
      <c r="H14" s="35">
        <f t="shared" si="9"/>
        <v>0.89581883367191928</v>
      </c>
      <c r="I14" s="35">
        <f t="shared" si="9"/>
        <v>0.899757413744808</v>
      </c>
      <c r="J14" s="35">
        <f t="shared" si="9"/>
        <v>0.88266463022982322</v>
      </c>
      <c r="K14" s="35">
        <f t="shared" si="9"/>
        <v>0.86346197206897213</v>
      </c>
      <c r="L14" s="35">
        <f t="shared" si="9"/>
        <v>0.83996034800737707</v>
      </c>
      <c r="M14" s="35">
        <f t="shared" si="9"/>
        <v>0.81020291288165369</v>
      </c>
      <c r="N14" s="35">
        <f t="shared" si="9"/>
        <v>0.80049441518185405</v>
      </c>
      <c r="O14" s="35">
        <f t="shared" si="9"/>
        <v>0.80579820124805535</v>
      </c>
      <c r="P14" s="35">
        <f t="shared" si="9"/>
        <v>0.83216732000064053</v>
      </c>
      <c r="Q14" s="35">
        <f t="shared" si="9"/>
        <v>0.83985100506298838</v>
      </c>
      <c r="R14" s="80">
        <f>+constantes!$B$3</f>
        <v>0.84066970570692801</v>
      </c>
      <c r="S14" s="80">
        <f>+constantes!$B$3</f>
        <v>0.84066970570692801</v>
      </c>
      <c r="T14" s="80">
        <f>+constantes!$B$3</f>
        <v>0.84066970570692801</v>
      </c>
      <c r="U14" s="80">
        <f>+constantes!$B$3</f>
        <v>0.84066970570692801</v>
      </c>
      <c r="V14" s="80">
        <f>+constantes!$B$3</f>
        <v>0.84066970570692801</v>
      </c>
      <c r="W14" s="80">
        <f>+constantes!$B$3</f>
        <v>0.84066970570692801</v>
      </c>
      <c r="X14" s="80">
        <f>+constantes!$B$3</f>
        <v>0.84066970570692801</v>
      </c>
      <c r="Y14" s="80">
        <f>+constantes!$B$3</f>
        <v>0.84066970570692801</v>
      </c>
      <c r="Z14" s="80">
        <f>+constantes!$B$3</f>
        <v>0.84066970570692801</v>
      </c>
      <c r="AA14" s="80">
        <f>+constantes!$B$3</f>
        <v>0.84066970570692801</v>
      </c>
      <c r="AB14" s="80">
        <f>+constantes!$B$3</f>
        <v>0.84066970570692801</v>
      </c>
      <c r="AC14" s="80">
        <f>+constantes!$B$3</f>
        <v>0.84066970570692801</v>
      </c>
      <c r="AD14" s="80">
        <f>+constantes!$B$3</f>
        <v>0.84066970570692801</v>
      </c>
      <c r="AE14" s="80">
        <f>+constantes!$B$3</f>
        <v>0.84066970570692801</v>
      </c>
      <c r="AF14" s="80">
        <f>+constantes!$B$3</f>
        <v>0.84066970570692801</v>
      </c>
    </row>
    <row r="15" spans="1:32" x14ac:dyDescent="0.25">
      <c r="A15" s="25" t="s">
        <v>78</v>
      </c>
      <c r="B15" s="36">
        <f>+VLOOKUP(B1,[7]sipa_pasivos_morat!$H$4:$J$30,3)</f>
        <v>0.55036867977943682</v>
      </c>
      <c r="C15" s="36">
        <f>+VLOOKUP(C1,[7]sipa_pasivos_morat!$H$4:$J$30,3)</f>
        <v>0.5643559557803054</v>
      </c>
      <c r="D15" s="36">
        <f>+VLOOKUP(D1,[7]sipa_pasivos_morat!$H$4:$J$30,3)</f>
        <v>0.57304348079999601</v>
      </c>
      <c r="E15" s="36">
        <f>+VLOOKUP(E1,[7]sipa_pasivos_morat!$H$4:$J$30,3)</f>
        <v>0.57835601450297081</v>
      </c>
      <c r="F15" s="36">
        <f>+VLOOKUP(F1,[7]sipa_pasivos_morat!$H$4:$J$30,3)</f>
        <v>0.58264703949801577</v>
      </c>
      <c r="G15" s="36">
        <f>+VLOOKUP(G1,[7]sipa_pasivos_morat!$H$4:$J$30,3)</f>
        <v>0.62316289761720622</v>
      </c>
      <c r="H15" s="36">
        <f>+VLOOKUP(H1,[7]sipa_pasivos_morat!$H$4:$J$30,3)</f>
        <v>0.64430317526952197</v>
      </c>
      <c r="I15" s="36">
        <f>+VLOOKUP(I1,[7]sipa_pasivos_morat!$H$4:$J$30,3)</f>
        <v>0.64959979907369381</v>
      </c>
      <c r="J15" s="36">
        <f>+VLOOKUP(J1,[7]sipa_pasivos_morat!$H$4:$J$30,3)</f>
        <v>0.64829804882532249</v>
      </c>
      <c r="K15" s="36">
        <f>+VLOOKUP(K1,[7]sipa_pasivos_morat!$H$4:$J$30,3)</f>
        <v>0.65078254760809451</v>
      </c>
      <c r="L15" s="36">
        <f>+VLOOKUP(L1,[7]sipa_pasivos_morat!$H$4:$J$30,3)</f>
        <v>0.65254711736462279</v>
      </c>
      <c r="M15" s="36">
        <f>+VLOOKUP(M1,[7]sipa_pasivos_morat!$H$4:$J$30,3)</f>
        <v>0.65472103010179383</v>
      </c>
      <c r="N15" s="36">
        <f>+VLOOKUP(N1,[7]sipa_pasivos_morat!$H$4:$J$30,3)</f>
        <v>0.66019014467630421</v>
      </c>
      <c r="O15" s="36">
        <f>+VLOOKUP(O1,[7]sipa_pasivos_morat!$H$4:$J$30,3)</f>
        <v>0.66756467806895869</v>
      </c>
      <c r="P15" s="36">
        <f>+VLOOKUP(P1,[7]sipa_pasivos_morat!$H$4:$J$30,3)</f>
        <v>0.68161345259719197</v>
      </c>
      <c r="Q15" s="36">
        <f>+VLOOKUP(Q1,[7]sipa_pasivos_morat!$H$4:$J$30,3)</f>
        <v>0.68551242985428218</v>
      </c>
      <c r="R15" s="80">
        <f>+constantes!$B$7</f>
        <v>0.62919165571360747</v>
      </c>
      <c r="S15" s="80">
        <f>+constantes!$B$7</f>
        <v>0.62919165571360747</v>
      </c>
      <c r="T15" s="80">
        <f>+constantes!$B$7</f>
        <v>0.62919165571360747</v>
      </c>
      <c r="U15" s="80">
        <f>+constantes!$B$7</f>
        <v>0.62919165571360747</v>
      </c>
      <c r="V15" s="80">
        <f>+constantes!$B$7</f>
        <v>0.62919165571360747</v>
      </c>
      <c r="W15" s="80">
        <f>+constantes!$B$7</f>
        <v>0.62919165571360747</v>
      </c>
      <c r="X15" s="80">
        <f>+constantes!$B$7</f>
        <v>0.62919165571360747</v>
      </c>
      <c r="Y15" s="80">
        <f>+constantes!$B$7</f>
        <v>0.62919165571360747</v>
      </c>
      <c r="Z15" s="80">
        <f>+constantes!$B$7</f>
        <v>0.62919165571360747</v>
      </c>
      <c r="AA15" s="80">
        <f>+constantes!$B$7</f>
        <v>0.62919165571360747</v>
      </c>
      <c r="AB15" s="80">
        <f>+constantes!$B$7</f>
        <v>0.62919165571360747</v>
      </c>
      <c r="AC15" s="80">
        <f>+constantes!$B$7</f>
        <v>0.62919165571360747</v>
      </c>
      <c r="AD15" s="80">
        <f>+constantes!$B$7</f>
        <v>0.62919165571360747</v>
      </c>
      <c r="AE15" s="80">
        <f>+constantes!$B$7</f>
        <v>0.62919165571360747</v>
      </c>
      <c r="AF15" s="80">
        <f>+constantes!$B$7</f>
        <v>0.62919165571360747</v>
      </c>
    </row>
    <row r="16" spans="1:32" s="100" customFormat="1" x14ac:dyDescent="0.25">
      <c r="A16" s="37" t="s">
        <v>40</v>
      </c>
      <c r="B16" s="38">
        <f>+B13*VLOOKUP(B1,[7]sipa_pasivos_morat!$H$4:$J$30,3)</f>
        <v>2324976.1666666665</v>
      </c>
      <c r="C16" s="38">
        <f>+C13*VLOOKUP(C1,[7]sipa_pasivos_morat!$H$4:$J$30,3)</f>
        <v>2416197</v>
      </c>
      <c r="D16" s="38">
        <f>+D13*VLOOKUP(D1,[7]sipa_pasivos_morat!$H$4:$J$30,3)</f>
        <v>2469455</v>
      </c>
      <c r="E16" s="38">
        <f>+E13*VLOOKUP(E1,[7]sipa_pasivos_morat!$H$4:$J$30,3)</f>
        <v>2505563.0833333335</v>
      </c>
      <c r="F16" s="38">
        <f>+F13*VLOOKUP(F1,[7]sipa_pasivos_morat!$H$4:$J$30,3)</f>
        <v>2539028</v>
      </c>
      <c r="G16" s="38">
        <f>+G13*VLOOKUP(G1,[7]sipa_pasivos_morat!$H$4:$J$30,3)</f>
        <v>3000779.5</v>
      </c>
      <c r="H16" s="38">
        <f>+H13*VLOOKUP(H1,[7]sipa_pasivos_morat!$H$4:$J$30,3)</f>
        <v>3293148</v>
      </c>
      <c r="I16" s="38">
        <f>+I13*VLOOKUP(I1,[7]sipa_pasivos_morat!$H$4:$J$30,3)</f>
        <v>3410194.9166666665</v>
      </c>
      <c r="J16" s="38">
        <f>+J13*VLOOKUP(J1,[7]sipa_pasivos_morat!$H$4:$J$30,3)</f>
        <v>3413909</v>
      </c>
      <c r="K16" s="38">
        <f>+K13*VLOOKUP(K1,[7]sipa_pasivos_morat!$H$4:$J$30,3)</f>
        <v>3427575.4166666665</v>
      </c>
      <c r="L16" s="38">
        <f>+L13*VLOOKUP(L1,[7]sipa_pasivos_morat!$H$4:$J$30,3)</f>
        <v>3417763</v>
      </c>
      <c r="M16" s="38">
        <f>+M13*VLOOKUP(M1,[7]sipa_pasivos_morat!$H$4:$J$30,3)</f>
        <v>3380687.666666667</v>
      </c>
      <c r="N16" s="38">
        <f>+N13*VLOOKUP(N1,[7]sipa_pasivos_morat!$H$4:$J$30,3)</f>
        <v>3467695.3333333335</v>
      </c>
      <c r="O16" s="38">
        <f>+O13*VLOOKUP(O1,[7]sipa_pasivos_morat!$H$4:$J$30,3)</f>
        <v>3579008.1666666665</v>
      </c>
      <c r="P16" s="38">
        <f>+P13*VLOOKUP(P1,[7]sipa_pasivos_morat!$H$4:$J$30,3)</f>
        <v>3838112.583333333</v>
      </c>
      <c r="Q16" s="38">
        <f>+Q13*Q15</f>
        <v>3961879.5</v>
      </c>
      <c r="R16" s="91">
        <f>+R13*R15</f>
        <v>3132569.6440098435</v>
      </c>
      <c r="S16" s="91">
        <f t="shared" ref="S16:AF16" si="10">+S13*S15</f>
        <v>3190224.8906327868</v>
      </c>
      <c r="T16" s="91">
        <f t="shared" si="10"/>
        <v>3249106.7545979465</v>
      </c>
      <c r="U16" s="91">
        <f t="shared" si="10"/>
        <v>3308593.7286275635</v>
      </c>
      <c r="V16" s="91">
        <f t="shared" si="10"/>
        <v>3368155.8124728799</v>
      </c>
      <c r="W16" s="91">
        <f t="shared" si="10"/>
        <v>3427834.2636382845</v>
      </c>
      <c r="X16" s="91">
        <f t="shared" si="10"/>
        <v>3487862.8746486832</v>
      </c>
      <c r="Y16" s="91">
        <f t="shared" si="10"/>
        <v>3549117.0451165698</v>
      </c>
      <c r="Z16" s="91">
        <f t="shared" si="10"/>
        <v>3613582.4246765524</v>
      </c>
      <c r="AA16" s="91">
        <f t="shared" si="10"/>
        <v>3683202.8765164912</v>
      </c>
      <c r="AB16" s="91">
        <f t="shared" si="10"/>
        <v>3758566.0556028346</v>
      </c>
      <c r="AC16" s="91">
        <f t="shared" si="10"/>
        <v>3839168.9377473779</v>
      </c>
      <c r="AD16" s="91">
        <f t="shared" si="10"/>
        <v>3925327.8304838138</v>
      </c>
      <c r="AE16" s="91">
        <f t="shared" si="10"/>
        <v>4018594.650708253</v>
      </c>
      <c r="AF16" s="91">
        <f t="shared" si="10"/>
        <v>4120252.6125958487</v>
      </c>
    </row>
    <row r="17" spans="1:32" s="101" customFormat="1" x14ac:dyDescent="0.25">
      <c r="A17" s="39" t="s">
        <v>41</v>
      </c>
      <c r="B17" s="40">
        <f>+B13-B16</f>
        <v>1899421.4999999995</v>
      </c>
      <c r="C17" s="40">
        <f t="shared" ref="C17:R17" si="11">+C13-C16</f>
        <v>1865138.166666667</v>
      </c>
      <c r="D17" s="40">
        <f t="shared" si="11"/>
        <v>1839912.583333333</v>
      </c>
      <c r="E17" s="40">
        <f t="shared" si="11"/>
        <v>1826652.7500000005</v>
      </c>
      <c r="F17" s="40">
        <f t="shared" si="11"/>
        <v>1818718.333333333</v>
      </c>
      <c r="G17" s="40">
        <f t="shared" si="11"/>
        <v>1814621.916666667</v>
      </c>
      <c r="H17" s="40">
        <f t="shared" si="11"/>
        <v>1818029.666666667</v>
      </c>
      <c r="I17" s="40">
        <f t="shared" si="11"/>
        <v>1839490.9999999995</v>
      </c>
      <c r="J17" s="40">
        <f t="shared" si="11"/>
        <v>1852047</v>
      </c>
      <c r="K17" s="40">
        <f t="shared" si="11"/>
        <v>1839276.6666666665</v>
      </c>
      <c r="L17" s="40">
        <f t="shared" si="11"/>
        <v>1819809.75</v>
      </c>
      <c r="M17" s="40">
        <f t="shared" si="11"/>
        <v>1782866.7499999991</v>
      </c>
      <c r="N17" s="40">
        <f t="shared" si="11"/>
        <v>1784875.2500000005</v>
      </c>
      <c r="O17" s="40">
        <f t="shared" si="11"/>
        <v>1782282.3333333335</v>
      </c>
      <c r="P17" s="40">
        <f t="shared" si="11"/>
        <v>1792810.0000000009</v>
      </c>
      <c r="Q17" s="40">
        <f t="shared" si="11"/>
        <v>1817562.75</v>
      </c>
      <c r="R17" s="92">
        <f t="shared" si="11"/>
        <v>1846151.25218035</v>
      </c>
      <c r="S17" s="92">
        <f t="shared" ref="S17:AF17" si="12">+S13-S16</f>
        <v>1880129.8441491676</v>
      </c>
      <c r="T17" s="92">
        <f t="shared" si="12"/>
        <v>1914831.3318233076</v>
      </c>
      <c r="U17" s="92">
        <f t="shared" si="12"/>
        <v>1949889.4355763076</v>
      </c>
      <c r="V17" s="92">
        <f t="shared" si="12"/>
        <v>1984991.8046118282</v>
      </c>
      <c r="W17" s="92">
        <f t="shared" si="12"/>
        <v>2020162.753662514</v>
      </c>
      <c r="X17" s="92">
        <f t="shared" si="12"/>
        <v>2055540.066213381</v>
      </c>
      <c r="Y17" s="92">
        <f t="shared" si="12"/>
        <v>2091639.6510148877</v>
      </c>
      <c r="Z17" s="92">
        <f t="shared" si="12"/>
        <v>2129631.7325076396</v>
      </c>
      <c r="AA17" s="92">
        <f t="shared" si="12"/>
        <v>2170661.9086722592</v>
      </c>
      <c r="AB17" s="92">
        <f t="shared" si="12"/>
        <v>2215076.5085853357</v>
      </c>
      <c r="AC17" s="92">
        <f t="shared" si="12"/>
        <v>2262579.0795449447</v>
      </c>
      <c r="AD17" s="92">
        <f t="shared" si="12"/>
        <v>2313356.0345013989</v>
      </c>
      <c r="AE17" s="92">
        <f t="shared" si="12"/>
        <v>2368321.9814751497</v>
      </c>
      <c r="AF17" s="92">
        <f t="shared" si="12"/>
        <v>2428233.1709970701</v>
      </c>
    </row>
    <row r="18" spans="1:32" x14ac:dyDescent="0.25">
      <c r="A18" s="25" t="s">
        <v>9</v>
      </c>
      <c r="B18" s="35">
        <f>+constantes!$B$9</f>
        <v>-0.44399455599417648</v>
      </c>
      <c r="C18" s="35">
        <f>+constantes!$B$9</f>
        <v>-0.44399455599417648</v>
      </c>
      <c r="D18" s="35">
        <f>+constantes!$B$9</f>
        <v>-0.44399455599417648</v>
      </c>
      <c r="E18" s="35">
        <f>+constantes!$B$9</f>
        <v>-0.44399455599417648</v>
      </c>
      <c r="F18" s="35">
        <f>+constantes!$B$9</f>
        <v>-0.44399455599417648</v>
      </c>
      <c r="G18" s="35">
        <f>+constantes!$B$9</f>
        <v>-0.44399455599417648</v>
      </c>
      <c r="H18" s="35">
        <f>+constantes!$B$9</f>
        <v>-0.44399455599417648</v>
      </c>
      <c r="I18" s="35">
        <f>+constantes!$B$9</f>
        <v>-0.44399455599417648</v>
      </c>
      <c r="J18" s="35">
        <f>+constantes!$B$9</f>
        <v>-0.44399455599417648</v>
      </c>
      <c r="K18" s="35">
        <f>+constantes!$B$9</f>
        <v>-0.44399455599417648</v>
      </c>
      <c r="L18" s="35">
        <f>+constantes!$B$9</f>
        <v>-0.44399455599417648</v>
      </c>
      <c r="M18" s="35">
        <f>+constantes!$B$9</f>
        <v>-0.44399455599417648</v>
      </c>
      <c r="N18" s="35">
        <f>+constantes!$B$9</f>
        <v>-0.44399455599417648</v>
      </c>
      <c r="O18" s="35">
        <f>+constantes!$B$9</f>
        <v>-0.44399455599417648</v>
      </c>
      <c r="P18" s="35">
        <f>+constantes!$B$9</f>
        <v>-0.44399455599417648</v>
      </c>
      <c r="Q18" s="35">
        <f>+constantes!$B$9</f>
        <v>-0.44399455599417648</v>
      </c>
      <c r="R18" s="80">
        <f>+constantes!$B$9</f>
        <v>-0.44399455599417648</v>
      </c>
      <c r="S18" s="80">
        <f>+constantes!$B$9</f>
        <v>-0.44399455599417648</v>
      </c>
      <c r="T18" s="80">
        <f>+constantes!$B$9</f>
        <v>-0.44399455599417648</v>
      </c>
      <c r="U18" s="80">
        <f>+constantes!$B$9</f>
        <v>-0.44399455599417648</v>
      </c>
      <c r="V18" s="80">
        <f>+constantes!$B$9</f>
        <v>-0.44399455599417648</v>
      </c>
      <c r="W18" s="80">
        <f>+constantes!$B$9</f>
        <v>-0.44399455599417648</v>
      </c>
      <c r="X18" s="80">
        <f>+constantes!$B$9</f>
        <v>-0.44399455599417648</v>
      </c>
      <c r="Y18" s="80">
        <f>+constantes!$B$9</f>
        <v>-0.44399455599417648</v>
      </c>
      <c r="Z18" s="80">
        <f>+constantes!$B$9</f>
        <v>-0.44399455599417648</v>
      </c>
      <c r="AA18" s="80">
        <f>+constantes!$B$9</f>
        <v>-0.44399455599417648</v>
      </c>
      <c r="AB18" s="80">
        <f>+constantes!$B$9</f>
        <v>-0.44399455599417648</v>
      </c>
      <c r="AC18" s="80">
        <f>+constantes!$B$9</f>
        <v>-0.44399455599417648</v>
      </c>
      <c r="AD18" s="80">
        <f>+constantes!$B$9</f>
        <v>-0.44399455599417648</v>
      </c>
      <c r="AE18" s="80">
        <f>+constantes!$B$9</f>
        <v>-0.44399455599417648</v>
      </c>
      <c r="AF18" s="80">
        <f>+constantes!$B$9</f>
        <v>-0.44399455599417648</v>
      </c>
    </row>
    <row r="19" spans="1:32" s="13" customFormat="1" ht="12" customHeight="1" x14ac:dyDescent="0.2">
      <c r="A19" s="43" t="s">
        <v>43</v>
      </c>
      <c r="B19" s="42">
        <f>+[7]ndc_arg_prom!$B$29</f>
        <v>695343.69820517104</v>
      </c>
      <c r="C19" s="42">
        <f>+[7]ndc_arg_prom!$B$29</f>
        <v>695343.69820517104</v>
      </c>
      <c r="D19" s="42">
        <f>+[7]ndc_arg_prom!$B$29</f>
        <v>695343.69820517104</v>
      </c>
      <c r="E19" s="42">
        <f>+[7]ndc_arg_prom!$B$29</f>
        <v>695343.69820517104</v>
      </c>
      <c r="F19" s="42">
        <f>+[7]ndc_arg_prom!$B$29</f>
        <v>695343.69820517104</v>
      </c>
      <c r="G19" s="42">
        <f>+[7]ndc_arg_prom!$B$29</f>
        <v>695343.69820517104</v>
      </c>
      <c r="H19" s="42">
        <f>+[7]ndc_arg_prom!$B$29</f>
        <v>695343.69820517104</v>
      </c>
      <c r="I19" s="42">
        <f>+[7]ndc_arg_prom!$B$29</f>
        <v>695343.69820517104</v>
      </c>
      <c r="J19" s="42">
        <f>+[7]ndc_arg_prom!$B$29</f>
        <v>695343.69820517104</v>
      </c>
      <c r="K19" s="42">
        <f>+[7]ndc_arg_prom!$B$29</f>
        <v>695343.69820517104</v>
      </c>
      <c r="L19" s="42">
        <f>+[7]ndc_arg_prom!$B$29</f>
        <v>695343.69820517104</v>
      </c>
      <c r="M19" s="42">
        <f>+[7]ndc_arg_prom!$B$29</f>
        <v>695343.69820517104</v>
      </c>
      <c r="N19" s="42">
        <f>+[7]ndc_arg_prom!$B$29</f>
        <v>695343.69820517104</v>
      </c>
      <c r="O19" s="42">
        <f>+[7]ndc_arg_prom!$B$29</f>
        <v>695343.69820517104</v>
      </c>
      <c r="P19" s="42">
        <f>+[7]ndc_arg_prom!$B$29</f>
        <v>695343.69820517104</v>
      </c>
      <c r="Q19" s="42">
        <f>+[7]ndc_arg_prom!$B$29</f>
        <v>695343.69820517104</v>
      </c>
      <c r="R19" s="96">
        <f>+Q19</f>
        <v>695343.69820517104</v>
      </c>
      <c r="S19" s="96">
        <f t="shared" ref="S19:AF19" si="13">+R19</f>
        <v>695343.69820517104</v>
      </c>
      <c r="T19" s="96">
        <f t="shared" si="13"/>
        <v>695343.69820517104</v>
      </c>
      <c r="U19" s="96">
        <f t="shared" si="13"/>
        <v>695343.69820517104</v>
      </c>
      <c r="V19" s="96">
        <f t="shared" si="13"/>
        <v>695343.69820517104</v>
      </c>
      <c r="W19" s="96">
        <f t="shared" si="13"/>
        <v>695343.69820517104</v>
      </c>
      <c r="X19" s="96">
        <f t="shared" si="13"/>
        <v>695343.69820517104</v>
      </c>
      <c r="Y19" s="96">
        <f t="shared" si="13"/>
        <v>695343.69820517104</v>
      </c>
      <c r="Z19" s="96">
        <f t="shared" si="13"/>
        <v>695343.69820517104</v>
      </c>
      <c r="AA19" s="96">
        <f t="shared" si="13"/>
        <v>695343.69820517104</v>
      </c>
      <c r="AB19" s="96">
        <f t="shared" si="13"/>
        <v>695343.69820517104</v>
      </c>
      <c r="AC19" s="96">
        <f t="shared" si="13"/>
        <v>695343.69820517104</v>
      </c>
      <c r="AD19" s="96">
        <f t="shared" si="13"/>
        <v>695343.69820517104</v>
      </c>
      <c r="AE19" s="96">
        <f t="shared" si="13"/>
        <v>695343.69820517104</v>
      </c>
      <c r="AF19" s="96">
        <f t="shared" si="13"/>
        <v>695343.69820517104</v>
      </c>
    </row>
    <row r="20" spans="1:32" x14ac:dyDescent="0.25">
      <c r="A20" s="41" t="s">
        <v>42</v>
      </c>
      <c r="B20" s="42">
        <f t="shared" ref="B20:AF20" si="14">+B19*(1+B18)</f>
        <v>386614.88165721745</v>
      </c>
      <c r="C20" s="42">
        <f t="shared" si="14"/>
        <v>386614.88165721745</v>
      </c>
      <c r="D20" s="42">
        <f t="shared" si="14"/>
        <v>386614.88165721745</v>
      </c>
      <c r="E20" s="42">
        <f t="shared" si="14"/>
        <v>386614.88165721745</v>
      </c>
      <c r="F20" s="42">
        <f t="shared" si="14"/>
        <v>386614.88165721745</v>
      </c>
      <c r="G20" s="42">
        <f t="shared" si="14"/>
        <v>386614.88165721745</v>
      </c>
      <c r="H20" s="42">
        <f t="shared" si="14"/>
        <v>386614.88165721745</v>
      </c>
      <c r="I20" s="42">
        <f t="shared" si="14"/>
        <v>386614.88165721745</v>
      </c>
      <c r="J20" s="42">
        <f t="shared" si="14"/>
        <v>386614.88165721745</v>
      </c>
      <c r="K20" s="42">
        <f t="shared" si="14"/>
        <v>386614.88165721745</v>
      </c>
      <c r="L20" s="42">
        <f t="shared" si="14"/>
        <v>386614.88165721745</v>
      </c>
      <c r="M20" s="42">
        <f t="shared" si="14"/>
        <v>386614.88165721745</v>
      </c>
      <c r="N20" s="42">
        <f t="shared" si="14"/>
        <v>386614.88165721745</v>
      </c>
      <c r="O20" s="42">
        <f t="shared" si="14"/>
        <v>386614.88165721745</v>
      </c>
      <c r="P20" s="42">
        <f t="shared" si="14"/>
        <v>386614.88165721745</v>
      </c>
      <c r="Q20" s="42">
        <f t="shared" si="14"/>
        <v>386614.88165721745</v>
      </c>
      <c r="R20" s="89">
        <f t="shared" si="14"/>
        <v>386614.88165721745</v>
      </c>
      <c r="S20" s="89">
        <f t="shared" si="14"/>
        <v>386614.88165721745</v>
      </c>
      <c r="T20" s="89">
        <f t="shared" si="14"/>
        <v>386614.88165721745</v>
      </c>
      <c r="U20" s="89">
        <f t="shared" si="14"/>
        <v>386614.88165721745</v>
      </c>
      <c r="V20" s="89">
        <f t="shared" si="14"/>
        <v>386614.88165721745</v>
      </c>
      <c r="W20" s="89">
        <f t="shared" si="14"/>
        <v>386614.88165721745</v>
      </c>
      <c r="X20" s="89">
        <f t="shared" si="14"/>
        <v>386614.88165721745</v>
      </c>
      <c r="Y20" s="89">
        <f t="shared" si="14"/>
        <v>386614.88165721745</v>
      </c>
      <c r="Z20" s="89">
        <f t="shared" si="14"/>
        <v>386614.88165721745</v>
      </c>
      <c r="AA20" s="89">
        <f t="shared" si="14"/>
        <v>386614.88165721745</v>
      </c>
      <c r="AB20" s="89">
        <f t="shared" si="14"/>
        <v>386614.88165721745</v>
      </c>
      <c r="AC20" s="89">
        <f t="shared" si="14"/>
        <v>386614.88165721745</v>
      </c>
      <c r="AD20" s="89">
        <f t="shared" si="14"/>
        <v>386614.88165721745</v>
      </c>
      <c r="AE20" s="89">
        <f t="shared" si="14"/>
        <v>386614.88165721745</v>
      </c>
      <c r="AF20" s="89">
        <f t="shared" si="14"/>
        <v>386614.88165721745</v>
      </c>
    </row>
    <row r="21" spans="1:32" ht="15.75" thickBot="1" x14ac:dyDescent="0.3">
      <c r="A21" s="41" t="s">
        <v>81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89">
        <f>+(R16*R20+R17*R19)*12</f>
        <v>29937692176068.594</v>
      </c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</row>
    <row r="22" spans="1:32" s="102" customFormat="1" ht="12" customHeight="1" x14ac:dyDescent="0.2">
      <c r="A22" s="44" t="s">
        <v>44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116">
        <f>+R13*R19*(R15*(1+R18)+1*(1-R15))*12</f>
        <v>29937692176068.594</v>
      </c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</row>
    <row r="23" spans="1:32" s="13" customFormat="1" ht="12" customHeight="1" x14ac:dyDescent="0.2">
      <c r="A23" s="46" t="s">
        <v>4</v>
      </c>
      <c r="B23" s="47">
        <f t="shared" ref="B23:Q23" si="15">+B25/B2</f>
        <v>6.4723274479371092E-3</v>
      </c>
      <c r="C23" s="47">
        <f t="shared" si="15"/>
        <v>6.4855125203055267E-3</v>
      </c>
      <c r="D23" s="47">
        <f t="shared" si="15"/>
        <v>6.4817640714080905E-3</v>
      </c>
      <c r="E23" s="47">
        <f t="shared" si="15"/>
        <v>6.4888961417886998E-3</v>
      </c>
      <c r="F23" s="47">
        <f t="shared" si="15"/>
        <v>6.4741067521571563E-3</v>
      </c>
      <c r="G23" s="47">
        <f t="shared" si="15"/>
        <v>6.4548013054011137E-3</v>
      </c>
      <c r="H23" s="47">
        <f t="shared" si="15"/>
        <v>6.470347631974226E-3</v>
      </c>
      <c r="I23" s="47">
        <f t="shared" si="15"/>
        <v>6.5175945585289061E-3</v>
      </c>
      <c r="J23" s="47">
        <f t="shared" si="15"/>
        <v>6.5102146079762365E-3</v>
      </c>
      <c r="K23" s="47">
        <f t="shared" si="15"/>
        <v>6.4769967937403162E-3</v>
      </c>
      <c r="L23" s="47">
        <f t="shared" si="15"/>
        <v>6.44395941395467E-3</v>
      </c>
      <c r="M23" s="47">
        <f t="shared" si="15"/>
        <v>6.4092061480124163E-3</v>
      </c>
      <c r="N23" s="47">
        <f t="shared" si="15"/>
        <v>6.4489051813400944E-3</v>
      </c>
      <c r="O23" s="47">
        <f t="shared" si="15"/>
        <v>6.4827677010412758E-3</v>
      </c>
      <c r="P23" s="47">
        <f t="shared" si="15"/>
        <v>6.4899289819892693E-3</v>
      </c>
      <c r="Q23" s="47">
        <f t="shared" si="15"/>
        <v>6.5266517329722259E-3</v>
      </c>
      <c r="R23" s="48">
        <f>+constantes!$B$4</f>
        <v>3.5520398746368261E-2</v>
      </c>
      <c r="S23" s="48">
        <f>+constantes!$B$4</f>
        <v>3.5520398746368261E-2</v>
      </c>
      <c r="T23" s="48">
        <f>+constantes!$B$4</f>
        <v>3.5520398746368261E-2</v>
      </c>
      <c r="U23" s="48">
        <f>+constantes!$B$4</f>
        <v>3.5520398746368261E-2</v>
      </c>
      <c r="V23" s="48">
        <f>+constantes!$B$4</f>
        <v>3.5520398746368261E-2</v>
      </c>
      <c r="W23" s="48">
        <f>+constantes!$B$4</f>
        <v>3.5520398746368261E-2</v>
      </c>
      <c r="X23" s="48">
        <f>+constantes!$B$4</f>
        <v>3.5520398746368261E-2</v>
      </c>
      <c r="Y23" s="48">
        <f>+constantes!$B$4</f>
        <v>3.5520398746368261E-2</v>
      </c>
      <c r="Z23" s="48">
        <f>+constantes!$B$4</f>
        <v>3.5520398746368261E-2</v>
      </c>
      <c r="AA23" s="48">
        <f>+constantes!$B$4</f>
        <v>3.5520398746368261E-2</v>
      </c>
      <c r="AB23" s="48">
        <f>+constantes!$B$4</f>
        <v>3.5520398746368261E-2</v>
      </c>
      <c r="AC23" s="48">
        <f>+constantes!$B$4</f>
        <v>3.5520398746368261E-2</v>
      </c>
      <c r="AD23" s="48">
        <f>+constantes!$B$4</f>
        <v>3.5520398746368261E-2</v>
      </c>
      <c r="AE23" s="48">
        <f>+constantes!$B$4</f>
        <v>3.5520398746368261E-2</v>
      </c>
      <c r="AF23" s="48">
        <f>+constantes!$B$4</f>
        <v>3.5520398746368261E-2</v>
      </c>
    </row>
    <row r="24" spans="1:32" s="13" customFormat="1" ht="12" customHeight="1" x14ac:dyDescent="0.2">
      <c r="A24" s="46" t="s">
        <v>5</v>
      </c>
      <c r="B24" s="47">
        <f>+constantes!$B$5</f>
        <v>0.18234941161999774</v>
      </c>
      <c r="C24" s="47">
        <f>+constantes!$B$5</f>
        <v>0.18234941161999774</v>
      </c>
      <c r="D24" s="47">
        <f>+constantes!$B$5</f>
        <v>0.18234941161999774</v>
      </c>
      <c r="E24" s="47">
        <f>+constantes!$B$5</f>
        <v>0.18234941161999774</v>
      </c>
      <c r="F24" s="47">
        <f>+constantes!$B$5</f>
        <v>0.18234941161999774</v>
      </c>
      <c r="G24" s="47">
        <f>+constantes!$B$5</f>
        <v>0.18234941161999774</v>
      </c>
      <c r="H24" s="47">
        <f>+constantes!$B$5</f>
        <v>0.18234941161999774</v>
      </c>
      <c r="I24" s="47">
        <f>+constantes!$B$5</f>
        <v>0.18234941161999774</v>
      </c>
      <c r="J24" s="47">
        <f>+constantes!$B$5</f>
        <v>0.18234941161999774</v>
      </c>
      <c r="K24" s="47">
        <f>+constantes!$B$5</f>
        <v>0.18234941161999774</v>
      </c>
      <c r="L24" s="47">
        <f>+constantes!$B$5</f>
        <v>0.18234941161999774</v>
      </c>
      <c r="M24" s="47">
        <f>+constantes!$B$5</f>
        <v>0.18234941161999774</v>
      </c>
      <c r="N24" s="47">
        <f>+constantes!$B$5</f>
        <v>0.18234941161999774</v>
      </c>
      <c r="O24" s="47">
        <f>+constantes!$B$5</f>
        <v>0.18234941161999774</v>
      </c>
      <c r="P24" s="47">
        <f>+constantes!$B$5</f>
        <v>0.18234941161999774</v>
      </c>
      <c r="Q24" s="47">
        <f>+constantes!$B$5</f>
        <v>0.18234941161999774</v>
      </c>
      <c r="R24" s="47">
        <f>+constantes!$B$5</f>
        <v>0.18234941161999774</v>
      </c>
      <c r="S24" s="47">
        <f>+constantes!$B$5</f>
        <v>0.18234941161999774</v>
      </c>
      <c r="T24" s="47">
        <f>+constantes!$B$5</f>
        <v>0.18234941161999774</v>
      </c>
      <c r="U24" s="47">
        <f>+constantes!$B$5</f>
        <v>0.18234941161999774</v>
      </c>
      <c r="V24" s="47">
        <f>+constantes!$B$5</f>
        <v>0.18234941161999774</v>
      </c>
      <c r="W24" s="47">
        <f>+constantes!$B$5</f>
        <v>0.18234941161999774</v>
      </c>
      <c r="X24" s="47">
        <f>+constantes!$B$5</f>
        <v>0.18234941161999774</v>
      </c>
      <c r="Y24" s="47">
        <f>+constantes!$B$5</f>
        <v>0.18234941161999774</v>
      </c>
      <c r="Z24" s="47">
        <f>+constantes!$B$5</f>
        <v>0.18234941161999774</v>
      </c>
      <c r="AA24" s="47">
        <f>+constantes!$B$5</f>
        <v>0.18234941161999774</v>
      </c>
      <c r="AB24" s="47">
        <f>+constantes!$B$5</f>
        <v>0.18234941161999774</v>
      </c>
      <c r="AC24" s="47">
        <f>+constantes!$B$5</f>
        <v>0.18234941161999774</v>
      </c>
      <c r="AD24" s="47">
        <f>+constantes!$B$5</f>
        <v>0.18234941161999774</v>
      </c>
      <c r="AE24" s="47">
        <f>+constantes!$B$5</f>
        <v>0.18234941161999774</v>
      </c>
      <c r="AF24" s="47">
        <f>+constantes!$B$5</f>
        <v>0.18234941161999774</v>
      </c>
    </row>
    <row r="25" spans="1:32" s="98" customFormat="1" ht="12" customHeight="1" x14ac:dyDescent="0.2">
      <c r="A25" s="81" t="s">
        <v>79</v>
      </c>
      <c r="B25" s="52">
        <f>+HLOOKUP(B1,[7]sipa_pasivos!$B$19:$Z$21,3)*B24</f>
        <v>263996.22391079302</v>
      </c>
      <c r="C25" s="52">
        <f>+HLOOKUP(C1,[7]sipa_pasivos!$B$19:$Z$21,3)*C24</f>
        <v>267601.91000146104</v>
      </c>
      <c r="D25" s="52">
        <f>+HLOOKUP(D1,[7]sipa_pasivos!$B$19:$Z$21,3)*D24</f>
        <v>270505.21655013738</v>
      </c>
      <c r="E25" s="52">
        <f>+HLOOKUP(E1,[7]sipa_pasivos!$B$19:$Z$21,3)*E24</f>
        <v>273850.46209365915</v>
      </c>
      <c r="F25" s="52">
        <f>+HLOOKUP(F1,[7]sipa_pasivos!$B$19:$Z$21,3)*F24</f>
        <v>276246.89806116919</v>
      </c>
      <c r="G25" s="52">
        <f>+HLOOKUP(G1,[7]sipa_pasivos!$B$19:$Z$21,3)*G24</f>
        <v>278408.27044131671</v>
      </c>
      <c r="H25" s="52">
        <f>+HLOOKUP(H1,[7]sipa_pasivos!$B$19:$Z$21,3)*H24</f>
        <v>282044.8343656857</v>
      </c>
      <c r="I25" s="52">
        <f>+HLOOKUP(I1,[7]sipa_pasivos!$B$19:$Z$21,3)*I24</f>
        <v>287066.22050503426</v>
      </c>
      <c r="J25" s="52">
        <f>+HLOOKUP(J1,[7]sipa_pasivos!$B$19:$Z$21,3)*J24</f>
        <v>289668.75689502771</v>
      </c>
      <c r="K25" s="52">
        <f>+HLOOKUP(K1,[7]sipa_pasivos!$B$19:$Z$21,3)*K24</f>
        <v>291067.89353881939</v>
      </c>
      <c r="L25" s="52">
        <f>+HLOOKUP(L1,[7]sipa_pasivos!$B$19:$Z$21,3)*L24</f>
        <v>292406.01910863986</v>
      </c>
      <c r="M25" s="52">
        <f>+HLOOKUP(M1,[7]sipa_pasivos!$B$19:$Z$21,3)*M24</f>
        <v>293597.70290514512</v>
      </c>
      <c r="N25" s="52">
        <f>+HLOOKUP(N1,[7]sipa_pasivos!$B$19:$Z$21,3)*N24</f>
        <v>297523.97445722541</v>
      </c>
      <c r="O25" s="52">
        <f>+HLOOKUP(O1,[7]sipa_pasivos!$B$19:$Z$21,3)*O24</f>
        <v>299597.62157459941</v>
      </c>
      <c r="P25" s="52">
        <f>+HLOOKUP(P1,[7]sipa_pasivos!$B$19:$Z$21,3)*P24</f>
        <v>300495.02381231863</v>
      </c>
      <c r="Q25" s="52">
        <f>+HLOOKUP(Q1,[7]sipa_pasivos!$B$19:$Z$21,3)*Q24</f>
        <v>302752.43354925269</v>
      </c>
      <c r="R25" s="86">
        <f t="shared" ref="R25:AF25" si="16">+R2*R23*R24</f>
        <v>300970.49130529817</v>
      </c>
      <c r="S25" s="86">
        <f t="shared" si="16"/>
        <v>301445.8020819872</v>
      </c>
      <c r="T25" s="86">
        <f t="shared" si="16"/>
        <v>301895.71605620947</v>
      </c>
      <c r="U25" s="86">
        <f t="shared" si="16"/>
        <v>302332.70169130387</v>
      </c>
      <c r="V25" s="86">
        <f t="shared" si="16"/>
        <v>302769.19506498863</v>
      </c>
      <c r="W25" s="86">
        <f t="shared" si="16"/>
        <v>303221.78409134597</v>
      </c>
      <c r="X25" s="86">
        <f t="shared" si="16"/>
        <v>303691.20068536588</v>
      </c>
      <c r="Y25" s="86">
        <f t="shared" si="16"/>
        <v>304177.41246143042</v>
      </c>
      <c r="Z25" s="86">
        <f t="shared" si="16"/>
        <v>304679.20172026282</v>
      </c>
      <c r="AA25" s="86">
        <f t="shared" si="16"/>
        <v>305193.7573901281</v>
      </c>
      <c r="AB25" s="86">
        <f t="shared" si="16"/>
        <v>305716.59082422551</v>
      </c>
      <c r="AC25" s="86">
        <f t="shared" si="16"/>
        <v>306241.67829740967</v>
      </c>
      <c r="AD25" s="86">
        <f t="shared" si="16"/>
        <v>306761.7913395057</v>
      </c>
      <c r="AE25" s="86">
        <f t="shared" si="16"/>
        <v>307268.97604247316</v>
      </c>
      <c r="AF25" s="86">
        <f t="shared" si="16"/>
        <v>307754.81214535679</v>
      </c>
    </row>
    <row r="26" spans="1:32" s="13" customFormat="1" ht="12" customHeight="1" x14ac:dyDescent="0.2">
      <c r="A26" s="46" t="s">
        <v>6</v>
      </c>
      <c r="B26" s="47">
        <f>+VLOOKUP(B1,[7]sipa_pasivos_morat!$H$4:$J$30,2)</f>
        <v>6.8140137757511071E-2</v>
      </c>
      <c r="C26" s="47">
        <f>+VLOOKUP(C1,[7]sipa_pasivos_morat!$H$4:$J$30,2)</f>
        <v>9.0319610604560202E-2</v>
      </c>
      <c r="D26" s="47">
        <f>+VLOOKUP(D1,[7]sipa_pasivos_morat!$H$4:$J$30,2)</f>
        <v>0.11107752436292273</v>
      </c>
      <c r="E26" s="47">
        <f>+VLOOKUP(E1,[7]sipa_pasivos_morat!$H$4:$J$30,2)</f>
        <v>0.12767256133737329</v>
      </c>
      <c r="F26" s="47">
        <f>+VLOOKUP(F1,[7]sipa_pasivos_morat!$H$4:$J$30,2)</f>
        <v>0.14253695711247702</v>
      </c>
      <c r="G26" s="47">
        <f>+VLOOKUP(G1,[7]sipa_pasivos_morat!$H$4:$J$30,2)</f>
        <v>0.15754727459642173</v>
      </c>
      <c r="H26" s="47">
        <f>+VLOOKUP(H1,[7]sipa_pasivos_morat!$H$4:$J$30,2)</f>
        <v>0.17817899286175667</v>
      </c>
      <c r="I26" s="47">
        <f>+VLOOKUP(I1,[7]sipa_pasivos_morat!$H$4:$J$30,2)</f>
        <v>0.20249259244065018</v>
      </c>
      <c r="J26" s="47">
        <f>+VLOOKUP(J1,[7]sipa_pasivos_morat!$H$4:$J$30,2)</f>
        <v>0.22394591416986345</v>
      </c>
      <c r="K26" s="47">
        <f>+VLOOKUP(K1,[7]sipa_pasivos_morat!$H$4:$J$30,2)</f>
        <v>0.24363100586827671</v>
      </c>
      <c r="L26" s="47">
        <f>+VLOOKUP(L1,[7]sipa_pasivos_morat!$H$4:$J$30,2)</f>
        <v>0.25688032916592501</v>
      </c>
      <c r="M26" s="47">
        <f>+VLOOKUP(M1,[7]sipa_pasivos_morat!$H$4:$J$30,2)</f>
        <v>0.27080760894481792</v>
      </c>
      <c r="N26" s="47">
        <f>+VLOOKUP(N1,[7]sipa_pasivos_morat!$H$4:$J$30,2)</f>
        <v>0.28791366997599921</v>
      </c>
      <c r="O26" s="47">
        <f>+VLOOKUP(O1,[7]sipa_pasivos_morat!$H$4:$J$30,2)</f>
        <v>0.30279565088737287</v>
      </c>
      <c r="P26" s="47">
        <f>+VLOOKUP(P1,[7]sipa_pasivos_morat!$H$4:$J$30,2)</f>
        <v>0.31451779210548486</v>
      </c>
      <c r="Q26" s="47">
        <f>+VLOOKUP(Q1,[7]sipa_pasivos_morat!$H$4:$J$30,2)</f>
        <v>0.32724047929653144</v>
      </c>
      <c r="R26" s="47">
        <f>+constantes!$B$6</f>
        <v>0.20660613134299652</v>
      </c>
      <c r="S26" s="48">
        <f>+constantes!$B$6</f>
        <v>0.20660613134299652</v>
      </c>
      <c r="T26" s="48">
        <f>+constantes!$B$6</f>
        <v>0.20660613134299652</v>
      </c>
      <c r="U26" s="48">
        <f>+constantes!$B$6</f>
        <v>0.20660613134299652</v>
      </c>
      <c r="V26" s="48">
        <f>+constantes!$B$6</f>
        <v>0.20660613134299652</v>
      </c>
      <c r="W26" s="48">
        <f>+constantes!$B$6</f>
        <v>0.20660613134299652</v>
      </c>
      <c r="X26" s="48">
        <f>+constantes!$B$6</f>
        <v>0.20660613134299652</v>
      </c>
      <c r="Y26" s="48">
        <f>+constantes!$B$6</f>
        <v>0.20660613134299652</v>
      </c>
      <c r="Z26" s="48">
        <f>+constantes!$B$6</f>
        <v>0.20660613134299652</v>
      </c>
      <c r="AA26" s="48">
        <f>+constantes!$B$6</f>
        <v>0.20660613134299652</v>
      </c>
      <c r="AB26" s="48">
        <f>+constantes!$B$6</f>
        <v>0.20660613134299652</v>
      </c>
      <c r="AC26" s="48">
        <f>+constantes!$B$6</f>
        <v>0.20660613134299652</v>
      </c>
      <c r="AD26" s="48">
        <f>+constantes!$B$6</f>
        <v>0.20660613134299652</v>
      </c>
      <c r="AE26" s="48">
        <f>+constantes!$B$6</f>
        <v>0.20660613134299652</v>
      </c>
      <c r="AF26" s="48">
        <f>+constantes!$B$6</f>
        <v>0.20660613134299652</v>
      </c>
    </row>
    <row r="27" spans="1:32" s="17" customFormat="1" ht="15" customHeight="1" x14ac:dyDescent="0.25">
      <c r="A27" s="49" t="s">
        <v>45</v>
      </c>
      <c r="B27" s="50">
        <f>+B25*VLOOKUP(B1,[7]sipa_pasivos_morat!$H$4:$J$30,2)</f>
        <v>17988.739064744175</v>
      </c>
      <c r="C27" s="50">
        <f>+C25*VLOOKUP(C1,[7]sipa_pasivos_morat!$H$4:$J$30,2)</f>
        <v>24169.700308368527</v>
      </c>
      <c r="D27" s="50">
        <f>+D25*VLOOKUP(D1,[7]sipa_pasivos_morat!$H$4:$J$30,2)</f>
        <v>30047.049781645575</v>
      </c>
      <c r="E27" s="50">
        <f>+E25*VLOOKUP(E1,[7]sipa_pasivos_morat!$H$4:$J$30,2)</f>
        <v>34963.189918920718</v>
      </c>
      <c r="F27" s="50">
        <f>+F25*VLOOKUP(F1,[7]sipa_pasivos_morat!$H$4:$J$30,2)</f>
        <v>39375.392261399684</v>
      </c>
      <c r="G27" s="50">
        <f>+G25*VLOOKUP(G1,[7]sipa_pasivos_morat!$H$4:$J$30,2)</f>
        <v>43862.464233132967</v>
      </c>
      <c r="H27" s="50">
        <f>+H25*VLOOKUP(H1,[7]sipa_pasivos_morat!$H$4:$J$30,2)</f>
        <v>50254.464529138859</v>
      </c>
      <c r="I27" s="50">
        <f>+I25*VLOOKUP(I1,[7]sipa_pasivos_morat!$H$4:$J$30,2)</f>
        <v>58128.783192203722</v>
      </c>
      <c r="J27" s="50">
        <f>+J25*VLOOKUP(J1,[7]sipa_pasivos_morat!$H$4:$J$30,2)</f>
        <v>64870.134569304915</v>
      </c>
      <c r="K27" s="50">
        <f>+K25*VLOOKUP(K1,[7]sipa_pasivos_morat!$H$4:$J$30,2)</f>
        <v>70913.163678823053</v>
      </c>
      <c r="L27" s="50">
        <f>+L25*VLOOKUP(L1,[7]sipa_pasivos_morat!$H$4:$J$30,2)</f>
        <v>75113.35443872516</v>
      </c>
      <c r="M27" s="50">
        <f>+M25*VLOOKUP(M1,[7]sipa_pasivos_morat!$H$4:$J$30,2)</f>
        <v>79508.491915433377</v>
      </c>
      <c r="N27" s="50">
        <f>+N25*VLOOKUP(N1,[7]sipa_pasivos_morat!$H$4:$J$30,2)</f>
        <v>85661.219391825216</v>
      </c>
      <c r="O27" s="50">
        <f>+O25*VLOOKUP(O1,[7]sipa_pasivos_morat!$H$4:$J$30,2)</f>
        <v>90716.85682898965</v>
      </c>
      <c r="P27" s="50">
        <f>+P25*VLOOKUP(P1,[7]sipa_pasivos_morat!$H$4:$J$30,2)</f>
        <v>94511.031428135553</v>
      </c>
      <c r="Q27" s="50">
        <f>+Q25*VLOOKUP(Q1,[7]sipa_pasivos_morat!$H$4:$J$30,2)</f>
        <v>99072.851462848732</v>
      </c>
      <c r="R27" s="94">
        <f>+R25*R26</f>
        <v>62182.348856988625</v>
      </c>
      <c r="S27" s="94">
        <f t="shared" ref="S27:AF27" si="17">+S25*S26</f>
        <v>62280.550977745981</v>
      </c>
      <c r="T27" s="94">
        <f t="shared" si="17"/>
        <v>62373.505963397198</v>
      </c>
      <c r="U27" s="94">
        <f t="shared" si="17"/>
        <v>62463.789874916511</v>
      </c>
      <c r="V27" s="94">
        <f t="shared" si="17"/>
        <v>62553.972082210377</v>
      </c>
      <c r="W27" s="94">
        <f t="shared" si="17"/>
        <v>62647.479750034356</v>
      </c>
      <c r="X27" s="94">
        <f t="shared" si="17"/>
        <v>62744.464096513017</v>
      </c>
      <c r="Y27" s="94">
        <f t="shared" si="17"/>
        <v>62844.91843057912</v>
      </c>
      <c r="Z27" s="94">
        <f t="shared" si="17"/>
        <v>62948.591168095954</v>
      </c>
      <c r="AA27" s="94">
        <f t="shared" si="17"/>
        <v>63054.901524407418</v>
      </c>
      <c r="AB27" s="94">
        <f t="shared" si="17"/>
        <v>63162.922117563059</v>
      </c>
      <c r="AC27" s="94">
        <f t="shared" si="17"/>
        <v>63271.408409014308</v>
      </c>
      <c r="AD27" s="94">
        <f t="shared" si="17"/>
        <v>63378.866952502809</v>
      </c>
      <c r="AE27" s="94">
        <f t="shared" si="17"/>
        <v>63483.654421859261</v>
      </c>
      <c r="AF27" s="94">
        <f t="shared" si="17"/>
        <v>63584.031139542807</v>
      </c>
    </row>
    <row r="28" spans="1:32" s="98" customFormat="1" ht="12" customHeight="1" x14ac:dyDescent="0.2">
      <c r="A28" s="51" t="s">
        <v>46</v>
      </c>
      <c r="B28" s="52">
        <f t="shared" ref="B28:R28" si="18">+B25-B27</f>
        <v>246007.48484604884</v>
      </c>
      <c r="C28" s="52">
        <f t="shared" si="18"/>
        <v>243432.2096930925</v>
      </c>
      <c r="D28" s="52">
        <f t="shared" si="18"/>
        <v>240458.16676849179</v>
      </c>
      <c r="E28" s="52">
        <f t="shared" si="18"/>
        <v>238887.27217473843</v>
      </c>
      <c r="F28" s="52">
        <f t="shared" si="18"/>
        <v>236871.50579976951</v>
      </c>
      <c r="G28" s="52">
        <f t="shared" si="18"/>
        <v>234545.80620818376</v>
      </c>
      <c r="H28" s="52">
        <f t="shared" si="18"/>
        <v>231790.36983654683</v>
      </c>
      <c r="I28" s="52">
        <f t="shared" si="18"/>
        <v>228937.43731283053</v>
      </c>
      <c r="J28" s="52">
        <f t="shared" si="18"/>
        <v>224798.6223257228</v>
      </c>
      <c r="K28" s="52">
        <f t="shared" si="18"/>
        <v>220154.72985999635</v>
      </c>
      <c r="L28" s="52">
        <f t="shared" si="18"/>
        <v>217292.66466991469</v>
      </c>
      <c r="M28" s="52">
        <f t="shared" si="18"/>
        <v>214089.21098971175</v>
      </c>
      <c r="N28" s="52">
        <f t="shared" si="18"/>
        <v>211862.75506540021</v>
      </c>
      <c r="O28" s="52">
        <f t="shared" si="18"/>
        <v>208880.76474560978</v>
      </c>
      <c r="P28" s="52">
        <f t="shared" si="18"/>
        <v>205983.99238418308</v>
      </c>
      <c r="Q28" s="52">
        <f t="shared" si="18"/>
        <v>203679.58208640397</v>
      </c>
      <c r="R28" s="95">
        <f t="shared" si="18"/>
        <v>238788.14244830955</v>
      </c>
      <c r="S28" s="95">
        <f t="shared" ref="S28:AF28" si="19">+S25-S27</f>
        <v>239165.25110424124</v>
      </c>
      <c r="T28" s="95">
        <f t="shared" si="19"/>
        <v>239522.21009281225</v>
      </c>
      <c r="U28" s="95">
        <f t="shared" si="19"/>
        <v>239868.91181638735</v>
      </c>
      <c r="V28" s="95">
        <f t="shared" si="19"/>
        <v>240215.22298277824</v>
      </c>
      <c r="W28" s="95">
        <f t="shared" si="19"/>
        <v>240574.30434131162</v>
      </c>
      <c r="X28" s="95">
        <f t="shared" si="19"/>
        <v>240946.73658885286</v>
      </c>
      <c r="Y28" s="95">
        <f t="shared" si="19"/>
        <v>241332.49403085129</v>
      </c>
      <c r="Z28" s="95">
        <f t="shared" si="19"/>
        <v>241730.61055216688</v>
      </c>
      <c r="AA28" s="95">
        <f t="shared" si="19"/>
        <v>242138.85586572069</v>
      </c>
      <c r="AB28" s="95">
        <f t="shared" si="19"/>
        <v>242553.66870666246</v>
      </c>
      <c r="AC28" s="95">
        <f t="shared" si="19"/>
        <v>242970.26988839536</v>
      </c>
      <c r="AD28" s="95">
        <f t="shared" si="19"/>
        <v>243382.92438700289</v>
      </c>
      <c r="AE28" s="95">
        <f t="shared" si="19"/>
        <v>243785.32162061392</v>
      </c>
      <c r="AF28" s="95">
        <f t="shared" si="19"/>
        <v>244170.78100581397</v>
      </c>
    </row>
    <row r="29" spans="1:32" s="13" customFormat="1" ht="12" customHeight="1" x14ac:dyDescent="0.2">
      <c r="A29" s="25" t="s">
        <v>8</v>
      </c>
      <c r="B29" s="36">
        <f>+constantes!$B$8</f>
        <v>-0.78529600553545076</v>
      </c>
      <c r="C29" s="36">
        <f>+constantes!$B$8</f>
        <v>-0.78529600553545076</v>
      </c>
      <c r="D29" s="36">
        <f>+constantes!$B$8</f>
        <v>-0.78529600553545076</v>
      </c>
      <c r="E29" s="36">
        <f>+constantes!$B$8</f>
        <v>-0.78529600553545076</v>
      </c>
      <c r="F29" s="36">
        <f>+constantes!$B$8</f>
        <v>-0.78529600553545076</v>
      </c>
      <c r="G29" s="36">
        <f>+constantes!$B$8</f>
        <v>-0.78529600553545076</v>
      </c>
      <c r="H29" s="36">
        <f>+constantes!$B$8</f>
        <v>-0.78529600553545076</v>
      </c>
      <c r="I29" s="36">
        <f>+constantes!$B$8</f>
        <v>-0.78529600553545076</v>
      </c>
      <c r="J29" s="36">
        <f>+constantes!$B$8</f>
        <v>-0.78529600553545076</v>
      </c>
      <c r="K29" s="36">
        <f>+constantes!$B$8</f>
        <v>-0.78529600553545076</v>
      </c>
      <c r="L29" s="36">
        <f>+constantes!$B$8</f>
        <v>-0.78529600553545076</v>
      </c>
      <c r="M29" s="36">
        <f>+constantes!$B$8</f>
        <v>-0.78529600553545076</v>
      </c>
      <c r="N29" s="36">
        <f>+constantes!$B$8</f>
        <v>-0.78529600553545076</v>
      </c>
      <c r="O29" s="36">
        <f>+constantes!$B$8</f>
        <v>-0.78529600553545076</v>
      </c>
      <c r="P29" s="36">
        <f>+constantes!$B$8</f>
        <v>-0.78529600553545076</v>
      </c>
      <c r="Q29" s="36">
        <f>+constantes!$B$8</f>
        <v>-0.78529600553545076</v>
      </c>
      <c r="R29" s="35">
        <f>+constantes!$B$8</f>
        <v>-0.78529600553545076</v>
      </c>
      <c r="S29" s="36">
        <f>+constantes!$B$8</f>
        <v>-0.78529600553545076</v>
      </c>
      <c r="T29" s="36">
        <f>+constantes!$B$8</f>
        <v>-0.78529600553545076</v>
      </c>
      <c r="U29" s="36">
        <f>+constantes!$B$8</f>
        <v>-0.78529600553545076</v>
      </c>
      <c r="V29" s="36">
        <f>+constantes!$B$8</f>
        <v>-0.78529600553545076</v>
      </c>
      <c r="W29" s="36">
        <f>+constantes!$B$8</f>
        <v>-0.78529600553545076</v>
      </c>
      <c r="X29" s="36">
        <f>+constantes!$B$8</f>
        <v>-0.78529600553545076</v>
      </c>
      <c r="Y29" s="36">
        <f>+constantes!$B$8</f>
        <v>-0.78529600553545076</v>
      </c>
      <c r="Z29" s="36">
        <f>+constantes!$B$8</f>
        <v>-0.78529600553545076</v>
      </c>
      <c r="AA29" s="36">
        <f>+constantes!$B$8</f>
        <v>-0.78529600553545076</v>
      </c>
      <c r="AB29" s="36">
        <f>+constantes!$B$8</f>
        <v>-0.78529600553545076</v>
      </c>
      <c r="AC29" s="36">
        <f>+constantes!$B$8</f>
        <v>-0.78529600553545076</v>
      </c>
      <c r="AD29" s="36">
        <f>+constantes!$B$8</f>
        <v>-0.78529600553545076</v>
      </c>
      <c r="AE29" s="36">
        <f>+constantes!$B$8</f>
        <v>-0.78529600553545076</v>
      </c>
      <c r="AF29" s="36">
        <f>+constantes!$B$8</f>
        <v>-0.78529600553545076</v>
      </c>
    </row>
    <row r="30" spans="1:32" s="13" customFormat="1" ht="12" customHeight="1" x14ac:dyDescent="0.2">
      <c r="A30" s="33" t="s">
        <v>47</v>
      </c>
      <c r="B30" s="42">
        <f t="shared" ref="B30:AF30" si="20">+B19*0.7</f>
        <v>486740.58874361968</v>
      </c>
      <c r="C30" s="42">
        <f t="shared" si="20"/>
        <v>486740.58874361968</v>
      </c>
      <c r="D30" s="42">
        <f t="shared" si="20"/>
        <v>486740.58874361968</v>
      </c>
      <c r="E30" s="42">
        <f t="shared" si="20"/>
        <v>486740.58874361968</v>
      </c>
      <c r="F30" s="42">
        <f t="shared" si="20"/>
        <v>486740.58874361968</v>
      </c>
      <c r="G30" s="42">
        <f t="shared" si="20"/>
        <v>486740.58874361968</v>
      </c>
      <c r="H30" s="42">
        <f t="shared" si="20"/>
        <v>486740.58874361968</v>
      </c>
      <c r="I30" s="42">
        <f t="shared" si="20"/>
        <v>486740.58874361968</v>
      </c>
      <c r="J30" s="42">
        <f t="shared" si="20"/>
        <v>486740.58874361968</v>
      </c>
      <c r="K30" s="42">
        <f t="shared" si="20"/>
        <v>486740.58874361968</v>
      </c>
      <c r="L30" s="42">
        <f t="shared" si="20"/>
        <v>486740.58874361968</v>
      </c>
      <c r="M30" s="42">
        <f t="shared" si="20"/>
        <v>486740.58874361968</v>
      </c>
      <c r="N30" s="42">
        <f t="shared" si="20"/>
        <v>486740.58874361968</v>
      </c>
      <c r="O30" s="42">
        <f t="shared" si="20"/>
        <v>486740.58874361968</v>
      </c>
      <c r="P30" s="42">
        <f t="shared" si="20"/>
        <v>486740.58874361968</v>
      </c>
      <c r="Q30" s="42">
        <f t="shared" si="20"/>
        <v>486740.58874361968</v>
      </c>
      <c r="R30" s="84">
        <f t="shared" si="20"/>
        <v>486740.58874361968</v>
      </c>
      <c r="S30" s="84">
        <f t="shared" si="20"/>
        <v>486740.58874361968</v>
      </c>
      <c r="T30" s="84">
        <f t="shared" si="20"/>
        <v>486740.58874361968</v>
      </c>
      <c r="U30" s="84">
        <f t="shared" si="20"/>
        <v>486740.58874361968</v>
      </c>
      <c r="V30" s="84">
        <f t="shared" si="20"/>
        <v>486740.58874361968</v>
      </c>
      <c r="W30" s="84">
        <f t="shared" si="20"/>
        <v>486740.58874361968</v>
      </c>
      <c r="X30" s="84">
        <f t="shared" si="20"/>
        <v>486740.58874361968</v>
      </c>
      <c r="Y30" s="84">
        <f t="shared" si="20"/>
        <v>486740.58874361968</v>
      </c>
      <c r="Z30" s="84">
        <f t="shared" si="20"/>
        <v>486740.58874361968</v>
      </c>
      <c r="AA30" s="84">
        <f t="shared" si="20"/>
        <v>486740.58874361968</v>
      </c>
      <c r="AB30" s="84">
        <f t="shared" si="20"/>
        <v>486740.58874361968</v>
      </c>
      <c r="AC30" s="84">
        <f t="shared" si="20"/>
        <v>486740.58874361968</v>
      </c>
      <c r="AD30" s="84">
        <f t="shared" si="20"/>
        <v>486740.58874361968</v>
      </c>
      <c r="AE30" s="84">
        <f t="shared" si="20"/>
        <v>486740.58874361968</v>
      </c>
      <c r="AF30" s="84">
        <f t="shared" si="20"/>
        <v>486740.58874361968</v>
      </c>
    </row>
    <row r="31" spans="1:32" s="13" customFormat="1" ht="12" customHeight="1" x14ac:dyDescent="0.2">
      <c r="A31" s="33" t="s">
        <v>48</v>
      </c>
      <c r="B31" s="42">
        <f>+B30*(1+B29)</f>
        <v>104505.14867128155</v>
      </c>
      <c r="C31" s="42">
        <f t="shared" ref="C31:R31" si="21">+C30*(1+C29)</f>
        <v>104505.14867128155</v>
      </c>
      <c r="D31" s="42">
        <f t="shared" si="21"/>
        <v>104505.14867128155</v>
      </c>
      <c r="E31" s="42">
        <f t="shared" si="21"/>
        <v>104505.14867128155</v>
      </c>
      <c r="F31" s="42">
        <f t="shared" si="21"/>
        <v>104505.14867128155</v>
      </c>
      <c r="G31" s="42">
        <f t="shared" si="21"/>
        <v>104505.14867128155</v>
      </c>
      <c r="H31" s="42">
        <f t="shared" si="21"/>
        <v>104505.14867128155</v>
      </c>
      <c r="I31" s="42">
        <f t="shared" si="21"/>
        <v>104505.14867128155</v>
      </c>
      <c r="J31" s="42">
        <f t="shared" si="21"/>
        <v>104505.14867128155</v>
      </c>
      <c r="K31" s="42">
        <f t="shared" si="21"/>
        <v>104505.14867128155</v>
      </c>
      <c r="L31" s="42">
        <f t="shared" si="21"/>
        <v>104505.14867128155</v>
      </c>
      <c r="M31" s="42">
        <f t="shared" si="21"/>
        <v>104505.14867128155</v>
      </c>
      <c r="N31" s="42">
        <f t="shared" si="21"/>
        <v>104505.14867128155</v>
      </c>
      <c r="O31" s="42">
        <f t="shared" si="21"/>
        <v>104505.14867128155</v>
      </c>
      <c r="P31" s="42">
        <f t="shared" si="21"/>
        <v>104505.14867128155</v>
      </c>
      <c r="Q31" s="42">
        <f t="shared" si="21"/>
        <v>104505.14867128155</v>
      </c>
      <c r="R31" s="93">
        <f t="shared" si="21"/>
        <v>104505.14867128155</v>
      </c>
      <c r="S31" s="93">
        <f t="shared" ref="S31" si="22">+S30*(1+S29)</f>
        <v>104505.14867128155</v>
      </c>
      <c r="T31" s="93">
        <f t="shared" ref="T31" si="23">+T30*(1+T29)</f>
        <v>104505.14867128155</v>
      </c>
      <c r="U31" s="93">
        <f t="shared" ref="U31" si="24">+U30*(1+U29)</f>
        <v>104505.14867128155</v>
      </c>
      <c r="V31" s="93">
        <f t="shared" ref="V31" si="25">+V30*(1+V29)</f>
        <v>104505.14867128155</v>
      </c>
      <c r="W31" s="93">
        <f t="shared" ref="W31" si="26">+W30*(1+W29)</f>
        <v>104505.14867128155</v>
      </c>
      <c r="X31" s="93">
        <f t="shared" ref="X31" si="27">+X30*(1+X29)</f>
        <v>104505.14867128155</v>
      </c>
      <c r="Y31" s="93">
        <f t="shared" ref="Y31" si="28">+Y30*(1+Y29)</f>
        <v>104505.14867128155</v>
      </c>
      <c r="Z31" s="93">
        <f t="shared" ref="Z31" si="29">+Z30*(1+Z29)</f>
        <v>104505.14867128155</v>
      </c>
      <c r="AA31" s="93">
        <f t="shared" ref="AA31" si="30">+AA30*(1+AA29)</f>
        <v>104505.14867128155</v>
      </c>
      <c r="AB31" s="93">
        <f t="shared" ref="AB31" si="31">+AB30*(1+AB29)</f>
        <v>104505.14867128155</v>
      </c>
      <c r="AC31" s="93">
        <f t="shared" ref="AC31" si="32">+AC30*(1+AC29)</f>
        <v>104505.14867128155</v>
      </c>
      <c r="AD31" s="93">
        <f t="shared" ref="AD31" si="33">+AD30*(1+AD29)</f>
        <v>104505.14867128155</v>
      </c>
      <c r="AE31" s="93">
        <f t="shared" ref="AE31" si="34">+AE30*(1+AE29)</f>
        <v>104505.14867128155</v>
      </c>
      <c r="AF31" s="93">
        <f t="shared" ref="AF31" si="35">+AF30*(1+AF29)</f>
        <v>104505.14867128155</v>
      </c>
    </row>
    <row r="32" spans="1:32" s="13" customFormat="1" ht="12" customHeight="1" x14ac:dyDescent="0.2">
      <c r="A32" s="33" t="s">
        <v>82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89">
        <f>+(R27*R31+R28*R30)*12</f>
        <v>1472715079827.7754</v>
      </c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</row>
    <row r="33" spans="1:32" s="13" customFormat="1" ht="12" customHeight="1" x14ac:dyDescent="0.2">
      <c r="A33" s="53" t="s">
        <v>49</v>
      </c>
      <c r="B33" s="54">
        <f t="shared" ref="B33:AF33" si="36">(B16*B20+B17*B19+B27*B31+B28*B30)*12</f>
        <v>28094914795821.242</v>
      </c>
      <c r="C33" s="54">
        <f t="shared" si="36"/>
        <v>28224767794540.555</v>
      </c>
      <c r="D33" s="54">
        <f t="shared" si="36"/>
        <v>28251365924612.707</v>
      </c>
      <c r="E33" s="54">
        <f t="shared" si="36"/>
        <v>28305233019977.332</v>
      </c>
      <c r="F33" s="54">
        <f t="shared" si="36"/>
        <v>28388042988596.895</v>
      </c>
      <c r="G33" s="54">
        <f t="shared" si="36"/>
        <v>30488144913575.406</v>
      </c>
      <c r="H33" s="54">
        <f t="shared" si="36"/>
        <v>31864909530393.27</v>
      </c>
      <c r="I33" s="54">
        <f t="shared" si="36"/>
        <v>32580221748515.285</v>
      </c>
      <c r="J33" s="54">
        <f t="shared" si="36"/>
        <v>32686501333084.441</v>
      </c>
      <c r="K33" s="54">
        <f t="shared" si="36"/>
        <v>32623801644576.047</v>
      </c>
      <c r="L33" s="54">
        <f t="shared" si="36"/>
        <v>32404394054113.992</v>
      </c>
      <c r="M33" s="54">
        <f t="shared" si="36"/>
        <v>31910931322673.074</v>
      </c>
      <c r="N33" s="54">
        <f t="shared" si="36"/>
        <v>32326063424293.391</v>
      </c>
      <c r="O33" s="54">
        <f t="shared" si="36"/>
        <v>32809772792774.281</v>
      </c>
      <c r="P33" s="54">
        <f t="shared" si="36"/>
        <v>34087538842644.227</v>
      </c>
      <c r="Q33" s="54">
        <f t="shared" si="36"/>
        <v>34860541453305.832</v>
      </c>
      <c r="R33" s="96">
        <f t="shared" si="36"/>
        <v>31410407255896.371</v>
      </c>
      <c r="S33" s="96">
        <f t="shared" si="36"/>
        <v>31963739170287.012</v>
      </c>
      <c r="T33" s="96">
        <f t="shared" si="36"/>
        <v>32528669486415.664</v>
      </c>
      <c r="U33" s="96">
        <f t="shared" si="36"/>
        <v>33099319524914.758</v>
      </c>
      <c r="V33" s="96">
        <f t="shared" si="36"/>
        <v>33670684972563.176</v>
      </c>
      <c r="W33" s="96">
        <f t="shared" si="36"/>
        <v>34243241292023.281</v>
      </c>
      <c r="X33" s="96">
        <f t="shared" si="36"/>
        <v>34819226399285.227</v>
      </c>
      <c r="Y33" s="96">
        <f t="shared" si="36"/>
        <v>35407006252871.828</v>
      </c>
      <c r="Z33" s="96">
        <f t="shared" si="36"/>
        <v>36025551572976.719</v>
      </c>
      <c r="AA33" s="96">
        <f t="shared" si="36"/>
        <v>36693425933679.109</v>
      </c>
      <c r="AB33" s="96">
        <f t="shared" si="36"/>
        <v>37416223537793.563</v>
      </c>
      <c r="AC33" s="96">
        <f t="shared" si="36"/>
        <v>38189107552041.602</v>
      </c>
      <c r="AD33" s="96">
        <f t="shared" si="36"/>
        <v>39015065529161.945</v>
      </c>
      <c r="AE33" s="96">
        <f t="shared" si="36"/>
        <v>39908890082011.813</v>
      </c>
      <c r="AF33" s="96">
        <f t="shared" si="36"/>
        <v>40882803573243.289</v>
      </c>
    </row>
    <row r="34" spans="1:32" s="13" customFormat="1" ht="12" customHeight="1" x14ac:dyDescent="0.2">
      <c r="A34" s="17"/>
      <c r="D34" s="55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</row>
    <row r="35" spans="1:32" s="13" customFormat="1" ht="12" customHeight="1" x14ac:dyDescent="0.2">
      <c r="A35" s="14" t="s">
        <v>50</v>
      </c>
      <c r="B35" s="56">
        <f t="shared" ref="B35:AF35" si="37">+B10-B33</f>
        <v>-5105330932318.8047</v>
      </c>
      <c r="C35" s="56">
        <f t="shared" si="37"/>
        <v>-225221115352.63281</v>
      </c>
      <c r="D35" s="56">
        <f t="shared" si="37"/>
        <v>5135102795264.2734</v>
      </c>
      <c r="E35" s="56">
        <f t="shared" si="37"/>
        <v>9315439265887.8867</v>
      </c>
      <c r="F35" s="56">
        <f t="shared" si="37"/>
        <v>10570080973941.41</v>
      </c>
      <c r="G35" s="56">
        <f t="shared" si="37"/>
        <v>14287201123315.82</v>
      </c>
      <c r="H35" s="56">
        <f t="shared" si="37"/>
        <v>11012024796953.949</v>
      </c>
      <c r="I35" s="56">
        <f t="shared" si="37"/>
        <v>11853507288597.012</v>
      </c>
      <c r="J35" s="56">
        <f t="shared" si="37"/>
        <v>5500007346507.0039</v>
      </c>
      <c r="K35" s="56">
        <f t="shared" si="37"/>
        <v>1831602902599.8828</v>
      </c>
      <c r="L35" s="56">
        <f t="shared" si="37"/>
        <v>556505702056.41016</v>
      </c>
      <c r="M35" s="56">
        <f t="shared" si="37"/>
        <v>1200126746130.2305</v>
      </c>
      <c r="N35" s="56">
        <f t="shared" si="37"/>
        <v>-1091758402832.8594</v>
      </c>
      <c r="O35" s="56">
        <f t="shared" si="37"/>
        <v>-8890620691432.9961</v>
      </c>
      <c r="P35" s="56">
        <f t="shared" si="37"/>
        <v>-2650464372954.0078</v>
      </c>
      <c r="Q35" s="56">
        <f t="shared" si="37"/>
        <v>5270236566761.6602</v>
      </c>
      <c r="R35" s="96">
        <f t="shared" si="37"/>
        <v>11490399623124.254</v>
      </c>
      <c r="S35" s="96">
        <f t="shared" si="37"/>
        <v>12717998829851.426</v>
      </c>
      <c r="T35" s="96">
        <f t="shared" si="37"/>
        <v>12064302368125.992</v>
      </c>
      <c r="U35" s="96">
        <f t="shared" si="37"/>
        <v>15372028841699</v>
      </c>
      <c r="V35" s="96">
        <f t="shared" si="37"/>
        <v>14225655451702.684</v>
      </c>
      <c r="W35" s="96">
        <f t="shared" si="37"/>
        <v>13058825623541.961</v>
      </c>
      <c r="X35" s="96">
        <f t="shared" si="37"/>
        <v>13433574456647.609</v>
      </c>
      <c r="Y35" s="96">
        <f t="shared" si="37"/>
        <v>9342813612589.7578</v>
      </c>
      <c r="Z35" s="96">
        <f t="shared" si="37"/>
        <v>6773719740626.6406</v>
      </c>
      <c r="AA35" s="96">
        <f t="shared" si="37"/>
        <v>4322411643462.4844</v>
      </c>
      <c r="AB35" s="96">
        <f t="shared" si="37"/>
        <v>7201304977845.5469</v>
      </c>
      <c r="AC35" s="96">
        <f t="shared" si="37"/>
        <v>6758903377101.6953</v>
      </c>
      <c r="AD35" s="96">
        <f t="shared" si="37"/>
        <v>4788993336332.7266</v>
      </c>
      <c r="AE35" s="96">
        <f t="shared" si="37"/>
        <v>1257211449179.6172</v>
      </c>
      <c r="AF35" s="96">
        <f t="shared" si="37"/>
        <v>-1172492682661.3125</v>
      </c>
    </row>
    <row r="36" spans="1:32" s="13" customFormat="1" ht="12" customHeight="1" x14ac:dyDescent="0.2">
      <c r="A36" s="57" t="s">
        <v>51</v>
      </c>
      <c r="B36" s="56">
        <f>141921338041*('[7]ipc_10-26'!E196/'[7]ipc_10-26'!E3)</f>
        <v>51578499700461.945</v>
      </c>
      <c r="C36" s="58">
        <f t="shared" ref="C36:Q36" si="38">+B39*(1+$B$60)</f>
        <v>47054083377744.93</v>
      </c>
      <c r="D36" s="58">
        <f t="shared" si="38"/>
        <v>47414223040672.195</v>
      </c>
      <c r="E36" s="58">
        <f t="shared" si="38"/>
        <v>53206192408885.672</v>
      </c>
      <c r="F36" s="58">
        <f t="shared" si="38"/>
        <v>63303152070708.227</v>
      </c>
      <c r="G36" s="58">
        <f t="shared" si="38"/>
        <v>74796648457707.766</v>
      </c>
      <c r="H36" s="58">
        <f t="shared" si="38"/>
        <v>90197397700786.391</v>
      </c>
      <c r="I36" s="58">
        <f t="shared" si="38"/>
        <v>102474540278962.09</v>
      </c>
      <c r="J36" s="58">
        <f t="shared" si="38"/>
        <v>115757148162153.59</v>
      </c>
      <c r="K36" s="58">
        <f t="shared" si="38"/>
        <v>122772869952518.84</v>
      </c>
      <c r="L36" s="58">
        <f t="shared" si="38"/>
        <v>126162028765807.7</v>
      </c>
      <c r="M36" s="58">
        <f t="shared" si="38"/>
        <v>128302516148712.41</v>
      </c>
      <c r="N36" s="58">
        <f t="shared" si="38"/>
        <v>131121425931028.17</v>
      </c>
      <c r="O36" s="58">
        <f t="shared" si="38"/>
        <v>131655038372297.75</v>
      </c>
      <c r="P36" s="58">
        <f t="shared" si="38"/>
        <v>124298972901875.55</v>
      </c>
      <c r="Q36" s="58">
        <f t="shared" si="38"/>
        <v>123169114885533.05</v>
      </c>
      <c r="R36" s="89">
        <f t="shared" ref="R36:AF36" si="39">+Q39*(1+$B$60)</f>
        <v>130044843345448.38</v>
      </c>
      <c r="S36" s="89">
        <f t="shared" si="39"/>
        <v>143304433505679.78</v>
      </c>
      <c r="T36" s="89">
        <f t="shared" si="39"/>
        <v>157972712739725.34</v>
      </c>
      <c r="U36" s="89">
        <f t="shared" si="39"/>
        <v>172162477796699.47</v>
      </c>
      <c r="V36" s="89">
        <f t="shared" si="39"/>
        <v>189878687971378.44</v>
      </c>
      <c r="W36" s="89">
        <f t="shared" si="39"/>
        <v>206655647715869.63</v>
      </c>
      <c r="X36" s="89">
        <f t="shared" si="39"/>
        <v>222460904256154.22</v>
      </c>
      <c r="Y36" s="89">
        <f t="shared" si="39"/>
        <v>238843159696711.81</v>
      </c>
      <c r="Z36" s="89">
        <f t="shared" si="39"/>
        <v>251288297975667.81</v>
      </c>
      <c r="AA36" s="89">
        <f t="shared" si="39"/>
        <v>261287792937748.09</v>
      </c>
      <c r="AB36" s="89">
        <f t="shared" si="39"/>
        <v>268930332138475.69</v>
      </c>
      <c r="AC36" s="89">
        <f t="shared" si="39"/>
        <v>279583282580275.25</v>
      </c>
      <c r="AD36" s="89">
        <f t="shared" si="39"/>
        <v>289921463281844.13</v>
      </c>
      <c r="AE36" s="89">
        <f t="shared" si="39"/>
        <v>298394337325904.06</v>
      </c>
      <c r="AF36" s="89">
        <f t="shared" si="39"/>
        <v>303397193134772.25</v>
      </c>
    </row>
    <row r="37" spans="1:32" s="13" customFormat="1" ht="12" customHeight="1" x14ac:dyDescent="0.2">
      <c r="A37" s="57" t="s">
        <v>52</v>
      </c>
      <c r="B37" s="56"/>
      <c r="C37" s="56">
        <f t="shared" ref="C37:Q37" si="40">+B39*$B$60</f>
        <v>580914609601.78931</v>
      </c>
      <c r="D37" s="56">
        <f t="shared" si="40"/>
        <v>585360778279.90369</v>
      </c>
      <c r="E37" s="56">
        <f t="shared" si="40"/>
        <v>656866572949.20593</v>
      </c>
      <c r="F37" s="56">
        <f t="shared" si="40"/>
        <v>781520395934.66956</v>
      </c>
      <c r="G37" s="56">
        <f t="shared" si="40"/>
        <v>923415413058.12061</v>
      </c>
      <c r="H37" s="56">
        <f t="shared" si="40"/>
        <v>1113548119762.7949</v>
      </c>
      <c r="I37" s="56">
        <f t="shared" si="40"/>
        <v>1265117781221.7544</v>
      </c>
      <c r="J37" s="56">
        <f t="shared" si="40"/>
        <v>1429100594594.489</v>
      </c>
      <c r="K37" s="56">
        <f t="shared" si="40"/>
        <v>1515714443858.2576</v>
      </c>
      <c r="L37" s="56">
        <f t="shared" si="40"/>
        <v>1557555910688.9841</v>
      </c>
      <c r="M37" s="56">
        <f t="shared" si="40"/>
        <v>1583981680848.3015</v>
      </c>
      <c r="N37" s="56">
        <f t="shared" si="40"/>
        <v>1618783036185.5332</v>
      </c>
      <c r="O37" s="56">
        <f t="shared" si="40"/>
        <v>1625370844102.4414</v>
      </c>
      <c r="P37" s="56">
        <f t="shared" si="40"/>
        <v>1534555221010.8096</v>
      </c>
      <c r="Q37" s="56">
        <f t="shared" si="40"/>
        <v>1520606356611.5193</v>
      </c>
      <c r="R37" s="96">
        <f t="shared" ref="R37:AF37" si="41">+Q39*$B$60</f>
        <v>1605491893153.6838</v>
      </c>
      <c r="S37" s="96">
        <f t="shared" si="41"/>
        <v>1769190537107.158</v>
      </c>
      <c r="T37" s="96">
        <f t="shared" si="41"/>
        <v>1950280404194.1404</v>
      </c>
      <c r="U37" s="96">
        <f t="shared" si="41"/>
        <v>2125462688848.1418</v>
      </c>
      <c r="V37" s="96">
        <f t="shared" si="41"/>
        <v>2344181332979.981</v>
      </c>
      <c r="W37" s="96">
        <f t="shared" si="41"/>
        <v>2551304292788.5142</v>
      </c>
      <c r="X37" s="96">
        <f t="shared" si="41"/>
        <v>2746430916742.645</v>
      </c>
      <c r="Y37" s="96">
        <f t="shared" si="41"/>
        <v>2948680983910.0229</v>
      </c>
      <c r="Z37" s="96">
        <f t="shared" si="41"/>
        <v>3102324666366.2695</v>
      </c>
      <c r="AA37" s="96">
        <f t="shared" si="41"/>
        <v>3225775221453.6807</v>
      </c>
      <c r="AB37" s="96">
        <f t="shared" si="41"/>
        <v>3320127557265.1323</v>
      </c>
      <c r="AC37" s="96">
        <f t="shared" si="41"/>
        <v>3451645463954.0156</v>
      </c>
      <c r="AD37" s="96">
        <f t="shared" si="41"/>
        <v>3579277324467.2119</v>
      </c>
      <c r="AE37" s="96">
        <f t="shared" si="41"/>
        <v>3683880707727.2109</v>
      </c>
      <c r="AF37" s="96">
        <f t="shared" si="41"/>
        <v>3745644359688.5464</v>
      </c>
    </row>
    <row r="38" spans="1:32" s="13" customFormat="1" ht="12" customHeight="1" x14ac:dyDescent="0.2">
      <c r="A38" s="17" t="s">
        <v>53</v>
      </c>
      <c r="B38" s="56">
        <f>+IF(B35&lt;0,(-1)*B35,0)</f>
        <v>5105330932318.8047</v>
      </c>
      <c r="C38" s="56">
        <f t="shared" ref="C38:Q38" si="42">+IF(C35&lt;0,(-1)*C35,0)</f>
        <v>225221115352.63281</v>
      </c>
      <c r="D38" s="56">
        <f t="shared" si="42"/>
        <v>0</v>
      </c>
      <c r="E38" s="56">
        <f t="shared" si="42"/>
        <v>0</v>
      </c>
      <c r="F38" s="56">
        <f t="shared" si="42"/>
        <v>0</v>
      </c>
      <c r="G38" s="56">
        <f t="shared" si="42"/>
        <v>0</v>
      </c>
      <c r="H38" s="56">
        <f t="shared" si="42"/>
        <v>0</v>
      </c>
      <c r="I38" s="56">
        <f t="shared" si="42"/>
        <v>0</v>
      </c>
      <c r="J38" s="56">
        <f t="shared" si="42"/>
        <v>0</v>
      </c>
      <c r="K38" s="56">
        <f t="shared" si="42"/>
        <v>0</v>
      </c>
      <c r="L38" s="56">
        <f t="shared" si="42"/>
        <v>0</v>
      </c>
      <c r="M38" s="56">
        <f t="shared" si="42"/>
        <v>0</v>
      </c>
      <c r="N38" s="56">
        <f t="shared" si="42"/>
        <v>1091758402832.8594</v>
      </c>
      <c r="O38" s="56">
        <f t="shared" si="42"/>
        <v>8890620691432.9961</v>
      </c>
      <c r="P38" s="56">
        <f t="shared" si="42"/>
        <v>2650464372954.0078</v>
      </c>
      <c r="Q38" s="56">
        <f t="shared" si="42"/>
        <v>0</v>
      </c>
      <c r="R38" s="96">
        <f t="shared" ref="R38:AF38" si="43">+IF(R35&lt;0,(-1)*R35,0)</f>
        <v>0</v>
      </c>
      <c r="S38" s="96">
        <f t="shared" si="43"/>
        <v>0</v>
      </c>
      <c r="T38" s="96">
        <f t="shared" si="43"/>
        <v>0</v>
      </c>
      <c r="U38" s="96">
        <f t="shared" si="43"/>
        <v>0</v>
      </c>
      <c r="V38" s="96">
        <f t="shared" si="43"/>
        <v>0</v>
      </c>
      <c r="W38" s="96">
        <f t="shared" si="43"/>
        <v>0</v>
      </c>
      <c r="X38" s="96">
        <f t="shared" si="43"/>
        <v>0</v>
      </c>
      <c r="Y38" s="96">
        <f t="shared" si="43"/>
        <v>0</v>
      </c>
      <c r="Z38" s="96">
        <f t="shared" si="43"/>
        <v>0</v>
      </c>
      <c r="AA38" s="96">
        <f t="shared" si="43"/>
        <v>0</v>
      </c>
      <c r="AB38" s="96">
        <f t="shared" si="43"/>
        <v>0</v>
      </c>
      <c r="AC38" s="96">
        <f t="shared" si="43"/>
        <v>0</v>
      </c>
      <c r="AD38" s="96">
        <f t="shared" si="43"/>
        <v>0</v>
      </c>
      <c r="AE38" s="96">
        <f t="shared" si="43"/>
        <v>0</v>
      </c>
      <c r="AF38" s="96">
        <f t="shared" si="43"/>
        <v>1172492682661.3125</v>
      </c>
    </row>
    <row r="39" spans="1:32" s="13" customFormat="1" ht="12" customHeight="1" x14ac:dyDescent="0.2">
      <c r="A39" s="17" t="s">
        <v>54</v>
      </c>
      <c r="B39" s="56">
        <f t="shared" ref="B39:C39" si="44">+B36-B38+IF(B35&gt;0,B35,0)</f>
        <v>46473168768143.141</v>
      </c>
      <c r="C39" s="56">
        <f t="shared" si="44"/>
        <v>46828862262392.297</v>
      </c>
      <c r="D39" s="56">
        <f>+D36-D38+IF(D35&gt;0,D35,0)</f>
        <v>52549325835936.469</v>
      </c>
      <c r="E39" s="56">
        <f t="shared" ref="E39:Q39" si="45">+E36-E38+IF(E35&gt;0,E35,0)</f>
        <v>62521631674773.563</v>
      </c>
      <c r="F39" s="56">
        <f t="shared" si="45"/>
        <v>73873233044649.641</v>
      </c>
      <c r="G39" s="56">
        <f t="shared" si="45"/>
        <v>89083849581023.594</v>
      </c>
      <c r="H39" s="56">
        <f t="shared" si="45"/>
        <v>101209422497740.34</v>
      </c>
      <c r="I39" s="56">
        <f t="shared" si="45"/>
        <v>114328047567559.11</v>
      </c>
      <c r="J39" s="56">
        <f t="shared" si="45"/>
        <v>121257155508660.59</v>
      </c>
      <c r="K39" s="56">
        <f t="shared" si="45"/>
        <v>124604472855118.72</v>
      </c>
      <c r="L39" s="56">
        <f t="shared" si="45"/>
        <v>126718534467864.11</v>
      </c>
      <c r="M39" s="56">
        <f t="shared" si="45"/>
        <v>129502642894842.64</v>
      </c>
      <c r="N39" s="56">
        <f t="shared" si="45"/>
        <v>130029667528195.31</v>
      </c>
      <c r="O39" s="56">
        <f t="shared" si="45"/>
        <v>122764417680864.75</v>
      </c>
      <c r="P39" s="56">
        <f t="shared" si="45"/>
        <v>121648508528921.53</v>
      </c>
      <c r="Q39" s="56">
        <f t="shared" si="45"/>
        <v>128439351452294.7</v>
      </c>
      <c r="R39" s="96">
        <f t="shared" ref="R39:AF39" si="46">+R36-R38+IF(R35&gt;0,R35,0)</f>
        <v>141535242968572.63</v>
      </c>
      <c r="S39" s="96">
        <f t="shared" si="46"/>
        <v>156022432335531.22</v>
      </c>
      <c r="T39" s="96">
        <f t="shared" si="46"/>
        <v>170037015107851.34</v>
      </c>
      <c r="U39" s="96">
        <f t="shared" si="46"/>
        <v>187534506638398.47</v>
      </c>
      <c r="V39" s="96">
        <f t="shared" si="46"/>
        <v>204104343423081.13</v>
      </c>
      <c r="W39" s="96">
        <f t="shared" si="46"/>
        <v>219714473339411.59</v>
      </c>
      <c r="X39" s="96">
        <f t="shared" si="46"/>
        <v>235894478712801.81</v>
      </c>
      <c r="Y39" s="96">
        <f t="shared" si="46"/>
        <v>248185973309301.56</v>
      </c>
      <c r="Z39" s="96">
        <f t="shared" si="46"/>
        <v>258062017716294.44</v>
      </c>
      <c r="AA39" s="96">
        <f t="shared" si="46"/>
        <v>265610204581210.56</v>
      </c>
      <c r="AB39" s="96">
        <f t="shared" si="46"/>
        <v>276131637116321.25</v>
      </c>
      <c r="AC39" s="96">
        <f t="shared" si="46"/>
        <v>286342185957376.94</v>
      </c>
      <c r="AD39" s="96">
        <f t="shared" si="46"/>
        <v>294710456618176.88</v>
      </c>
      <c r="AE39" s="96">
        <f t="shared" si="46"/>
        <v>299651548775083.69</v>
      </c>
      <c r="AF39" s="96">
        <f t="shared" si="46"/>
        <v>302224700452110.94</v>
      </c>
    </row>
    <row r="40" spans="1:32" s="13" customFormat="1" ht="12" customHeight="1" x14ac:dyDescent="0.2">
      <c r="A40" s="17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</row>
    <row r="41" spans="1:32" s="13" customFormat="1" ht="12" customHeight="1" x14ac:dyDescent="0.2">
      <c r="A41" s="12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</row>
    <row r="42" spans="1:32" s="13" customFormat="1" ht="12" customHeight="1" thickBot="1" x14ac:dyDescent="0.25">
      <c r="A42" s="12" t="s">
        <v>55</v>
      </c>
      <c r="B42" s="56">
        <f>+B39</f>
        <v>46473168768143.141</v>
      </c>
      <c r="C42" s="56">
        <f t="shared" ref="C42:Q42" si="47">+C39</f>
        <v>46828862262392.297</v>
      </c>
      <c r="D42" s="56">
        <f t="shared" si="47"/>
        <v>52549325835936.469</v>
      </c>
      <c r="E42" s="56">
        <f t="shared" si="47"/>
        <v>62521631674773.563</v>
      </c>
      <c r="F42" s="56">
        <f t="shared" si="47"/>
        <v>73873233044649.641</v>
      </c>
      <c r="G42" s="56">
        <f t="shared" si="47"/>
        <v>89083849581023.594</v>
      </c>
      <c r="H42" s="56">
        <f t="shared" si="47"/>
        <v>101209422497740.34</v>
      </c>
      <c r="I42" s="56">
        <f t="shared" si="47"/>
        <v>114328047567559.11</v>
      </c>
      <c r="J42" s="56">
        <f t="shared" si="47"/>
        <v>121257155508660.59</v>
      </c>
      <c r="K42" s="56">
        <f t="shared" si="47"/>
        <v>124604472855118.72</v>
      </c>
      <c r="L42" s="56">
        <f t="shared" si="47"/>
        <v>126718534467864.11</v>
      </c>
      <c r="M42" s="56">
        <f t="shared" si="47"/>
        <v>129502642894842.64</v>
      </c>
      <c r="N42" s="56">
        <f t="shared" si="47"/>
        <v>130029667528195.31</v>
      </c>
      <c r="O42" s="56">
        <f t="shared" si="47"/>
        <v>122764417680864.75</v>
      </c>
      <c r="P42" s="56">
        <f t="shared" si="47"/>
        <v>121648508528921.53</v>
      </c>
      <c r="Q42" s="56">
        <f t="shared" si="47"/>
        <v>128439351452294.7</v>
      </c>
      <c r="R42" s="96">
        <f t="shared" ref="R42:AF42" si="48">+R39</f>
        <v>141535242968572.63</v>
      </c>
      <c r="S42" s="96">
        <f t="shared" si="48"/>
        <v>156022432335531.22</v>
      </c>
      <c r="T42" s="96">
        <f t="shared" si="48"/>
        <v>170037015107851.34</v>
      </c>
      <c r="U42" s="96">
        <f t="shared" si="48"/>
        <v>187534506638398.47</v>
      </c>
      <c r="V42" s="96">
        <f t="shared" si="48"/>
        <v>204104343423081.13</v>
      </c>
      <c r="W42" s="96">
        <f t="shared" si="48"/>
        <v>219714473339411.59</v>
      </c>
      <c r="X42" s="96">
        <f t="shared" si="48"/>
        <v>235894478712801.81</v>
      </c>
      <c r="Y42" s="96">
        <f t="shared" si="48"/>
        <v>248185973309301.56</v>
      </c>
      <c r="Z42" s="96">
        <f t="shared" si="48"/>
        <v>258062017716294.44</v>
      </c>
      <c r="AA42" s="96">
        <f t="shared" si="48"/>
        <v>265610204581210.56</v>
      </c>
      <c r="AB42" s="96">
        <f t="shared" si="48"/>
        <v>276131637116321.25</v>
      </c>
      <c r="AC42" s="96">
        <f t="shared" si="48"/>
        <v>286342185957376.94</v>
      </c>
      <c r="AD42" s="96">
        <f t="shared" si="48"/>
        <v>294710456618176.88</v>
      </c>
      <c r="AE42" s="96">
        <f t="shared" si="48"/>
        <v>299651548775083.69</v>
      </c>
      <c r="AF42" s="96">
        <f t="shared" si="48"/>
        <v>302224700452110.94</v>
      </c>
    </row>
    <row r="43" spans="1:32" s="103" customFormat="1" x14ac:dyDescent="0.25">
      <c r="A43" s="59" t="s">
        <v>12</v>
      </c>
      <c r="B43" s="60">
        <v>30</v>
      </c>
      <c r="C43" s="60">
        <v>30</v>
      </c>
      <c r="D43" s="60">
        <v>30</v>
      </c>
      <c r="E43" s="60">
        <v>30</v>
      </c>
      <c r="F43" s="60">
        <v>30</v>
      </c>
      <c r="G43" s="60">
        <v>30</v>
      </c>
      <c r="H43" s="60">
        <v>30</v>
      </c>
      <c r="I43" s="60">
        <v>30</v>
      </c>
      <c r="J43" s="60">
        <v>30</v>
      </c>
      <c r="K43" s="60">
        <v>30</v>
      </c>
      <c r="L43" s="60">
        <v>30</v>
      </c>
      <c r="M43" s="60">
        <v>30</v>
      </c>
      <c r="N43" s="60">
        <v>30</v>
      </c>
      <c r="O43" s="60">
        <v>30</v>
      </c>
      <c r="P43" s="60">
        <v>30</v>
      </c>
      <c r="Q43" s="60">
        <v>30</v>
      </c>
      <c r="R43" s="105">
        <v>30</v>
      </c>
      <c r="S43" s="105">
        <v>30</v>
      </c>
      <c r="T43" s="105">
        <v>30</v>
      </c>
      <c r="U43" s="105">
        <v>30</v>
      </c>
      <c r="V43" s="105">
        <v>30</v>
      </c>
      <c r="W43" s="105">
        <v>30</v>
      </c>
      <c r="X43" s="105">
        <v>30</v>
      </c>
      <c r="Y43" s="105">
        <v>30</v>
      </c>
      <c r="Z43" s="105">
        <v>30</v>
      </c>
      <c r="AA43" s="105">
        <v>30</v>
      </c>
      <c r="AB43" s="105">
        <v>30</v>
      </c>
      <c r="AC43" s="105">
        <v>30</v>
      </c>
      <c r="AD43" s="105">
        <v>30</v>
      </c>
      <c r="AE43" s="105">
        <v>30</v>
      </c>
      <c r="AF43" s="105">
        <v>30</v>
      </c>
    </row>
    <row r="44" spans="1:32" s="63" customFormat="1" ht="15.75" thickBot="1" x14ac:dyDescent="0.3">
      <c r="A44" s="61" t="s">
        <v>56</v>
      </c>
      <c r="B44" s="62">
        <f t="shared" ref="B44:AF44" si="49">+B43*B10</f>
        <v>689687515905073.13</v>
      </c>
      <c r="C44" s="62">
        <f t="shared" si="49"/>
        <v>839986400375637.63</v>
      </c>
      <c r="D44" s="62">
        <f t="shared" si="49"/>
        <v>1001594061596309.4</v>
      </c>
      <c r="E44" s="62">
        <f t="shared" si="49"/>
        <v>1128620168575956.5</v>
      </c>
      <c r="F44" s="62">
        <f t="shared" si="49"/>
        <v>1168743718876149.3</v>
      </c>
      <c r="G44" s="62">
        <f t="shared" si="49"/>
        <v>1343260381106736.8</v>
      </c>
      <c r="H44" s="62">
        <f t="shared" si="49"/>
        <v>1286308029820416.5</v>
      </c>
      <c r="I44" s="62">
        <f t="shared" si="49"/>
        <v>1333011871113369</v>
      </c>
      <c r="J44" s="62">
        <f t="shared" si="49"/>
        <v>1145595260387743.3</v>
      </c>
      <c r="K44" s="62">
        <f t="shared" si="49"/>
        <v>1033662136415277.9</v>
      </c>
      <c r="L44" s="62">
        <f t="shared" si="49"/>
        <v>988826992685112.13</v>
      </c>
      <c r="M44" s="62">
        <f t="shared" si="49"/>
        <v>993331742064099.13</v>
      </c>
      <c r="N44" s="62">
        <f t="shared" si="49"/>
        <v>937029150643816</v>
      </c>
      <c r="O44" s="62">
        <f t="shared" si="49"/>
        <v>717574563040238.5</v>
      </c>
      <c r="P44" s="62">
        <f t="shared" si="49"/>
        <v>943112234090706.5</v>
      </c>
      <c r="Q44" s="62">
        <f t="shared" si="49"/>
        <v>1203923340602024.8</v>
      </c>
      <c r="R44" s="106">
        <f t="shared" si="49"/>
        <v>1287024206370618.8</v>
      </c>
      <c r="S44" s="106">
        <f t="shared" si="49"/>
        <v>1340452140004153</v>
      </c>
      <c r="T44" s="106">
        <f t="shared" si="49"/>
        <v>1337789155636249.8</v>
      </c>
      <c r="U44" s="106">
        <f t="shared" si="49"/>
        <v>1454140450998412.8</v>
      </c>
      <c r="V44" s="106">
        <f t="shared" si="49"/>
        <v>1436890212727975.8</v>
      </c>
      <c r="W44" s="106">
        <f t="shared" si="49"/>
        <v>1419062007466957.3</v>
      </c>
      <c r="X44" s="106">
        <f t="shared" si="49"/>
        <v>1447584025677985</v>
      </c>
      <c r="Y44" s="106">
        <f t="shared" si="49"/>
        <v>1342494595963847.5</v>
      </c>
      <c r="Z44" s="106">
        <f t="shared" si="49"/>
        <v>1283978139408100.8</v>
      </c>
      <c r="AA44" s="106">
        <f t="shared" si="49"/>
        <v>1230475127314247.8</v>
      </c>
      <c r="AB44" s="106">
        <f t="shared" si="49"/>
        <v>1338525855469173.3</v>
      </c>
      <c r="AC44" s="106">
        <f t="shared" si="49"/>
        <v>1348440327874299</v>
      </c>
      <c r="AD44" s="106">
        <f t="shared" si="49"/>
        <v>1314121765964840.3</v>
      </c>
      <c r="AE44" s="106">
        <f t="shared" si="49"/>
        <v>1234983045935743</v>
      </c>
      <c r="AF44" s="106">
        <f t="shared" si="49"/>
        <v>1191309326717459.3</v>
      </c>
    </row>
    <row r="45" spans="1:32" x14ac:dyDescent="0.25">
      <c r="A45" s="17" t="s">
        <v>57</v>
      </c>
      <c r="B45" s="11">
        <f t="shared" ref="B45:AF45" si="50">+$B$64*(B30*B28+B31*B27)*12</f>
        <v>31156946963474.211</v>
      </c>
      <c r="C45" s="11">
        <f t="shared" si="50"/>
        <v>31001305701462.953</v>
      </c>
      <c r="D45" s="11">
        <f t="shared" si="50"/>
        <v>30787812681672.07</v>
      </c>
      <c r="E45" s="11">
        <f t="shared" si="50"/>
        <v>30723548569192.371</v>
      </c>
      <c r="F45" s="11">
        <f t="shared" si="50"/>
        <v>30590320727817.922</v>
      </c>
      <c r="G45" s="11">
        <f t="shared" si="50"/>
        <v>30420450870987.789</v>
      </c>
      <c r="H45" s="11">
        <f t="shared" si="50"/>
        <v>30247994754218.906</v>
      </c>
      <c r="I45" s="11">
        <f t="shared" si="50"/>
        <v>30103066249984.813</v>
      </c>
      <c r="J45" s="11">
        <f t="shared" si="50"/>
        <v>29767465676680.508</v>
      </c>
      <c r="K45" s="11">
        <f t="shared" si="50"/>
        <v>29350190092433.023</v>
      </c>
      <c r="L45" s="11">
        <f t="shared" si="50"/>
        <v>29105758936329.508</v>
      </c>
      <c r="M45" s="11">
        <f t="shared" si="50"/>
        <v>28823978227739.156</v>
      </c>
      <c r="N45" s="11">
        <f t="shared" si="50"/>
        <v>28711076322132.008</v>
      </c>
      <c r="O45" s="11">
        <f t="shared" si="50"/>
        <v>28474593417733.844</v>
      </c>
      <c r="P45" s="11">
        <f t="shared" si="50"/>
        <v>28214964650534.055</v>
      </c>
      <c r="Q45" s="11">
        <f t="shared" si="50"/>
        <v>28049750572100.422</v>
      </c>
      <c r="R45" s="107">
        <f t="shared" si="50"/>
        <v>31439900039204.828</v>
      </c>
      <c r="S45" s="107">
        <f t="shared" si="50"/>
        <v>31489551828128.891</v>
      </c>
      <c r="T45" s="107">
        <f t="shared" si="50"/>
        <v>31536550622975.656</v>
      </c>
      <c r="U45" s="107">
        <f t="shared" si="50"/>
        <v>31582198901072.133</v>
      </c>
      <c r="V45" s="107">
        <f t="shared" si="50"/>
        <v>31627795756687.133</v>
      </c>
      <c r="W45" s="107">
        <f t="shared" si="50"/>
        <v>31675073992124.117</v>
      </c>
      <c r="X45" s="107">
        <f t="shared" si="50"/>
        <v>31724110064493.609</v>
      </c>
      <c r="Y45" s="107">
        <f t="shared" si="50"/>
        <v>31774900590737.75</v>
      </c>
      <c r="Z45" s="107">
        <f t="shared" si="50"/>
        <v>31827318367876.023</v>
      </c>
      <c r="AA45" s="107">
        <f t="shared" si="50"/>
        <v>31881069746474.664</v>
      </c>
      <c r="AB45" s="107">
        <f t="shared" si="50"/>
        <v>31935685834696.094</v>
      </c>
      <c r="AC45" s="107">
        <f t="shared" si="50"/>
        <v>31990537383753.781</v>
      </c>
      <c r="AD45" s="107">
        <f t="shared" si="50"/>
        <v>32044869295103.848</v>
      </c>
      <c r="AE45" s="107">
        <f t="shared" si="50"/>
        <v>32097850689703.547</v>
      </c>
      <c r="AF45" s="107">
        <f t="shared" si="50"/>
        <v>32148601972475</v>
      </c>
    </row>
    <row r="46" spans="1:32" x14ac:dyDescent="0.25">
      <c r="A46" s="17" t="s">
        <v>58</v>
      </c>
      <c r="B46" s="11">
        <f t="shared" ref="B46:AF46" si="51">+$B$65*(B16*B20+B17*B19)*12</f>
        <v>344642290998154.13</v>
      </c>
      <c r="C46" s="11">
        <f t="shared" si="51"/>
        <v>346416823498753.19</v>
      </c>
      <c r="D46" s="11">
        <f t="shared" si="51"/>
        <v>346890381492268.25</v>
      </c>
      <c r="E46" s="11">
        <f t="shared" si="51"/>
        <v>347626330920127.56</v>
      </c>
      <c r="F46" s="11">
        <f t="shared" si="51"/>
        <v>348778577956974.75</v>
      </c>
      <c r="G46" s="11">
        <f t="shared" si="51"/>
        <v>376055240471917.44</v>
      </c>
      <c r="H46" s="11">
        <f t="shared" si="51"/>
        <v>393974041988109.63</v>
      </c>
      <c r="I46" s="11">
        <f t="shared" si="51"/>
        <v>403317473553820.38</v>
      </c>
      <c r="J46" s="11">
        <f t="shared" si="51"/>
        <v>404896057983404.44</v>
      </c>
      <c r="K46" s="11">
        <f t="shared" si="51"/>
        <v>404337683985450.25</v>
      </c>
      <c r="L46" s="11">
        <f t="shared" si="51"/>
        <v>401646868808615.75</v>
      </c>
      <c r="M46" s="11">
        <f t="shared" si="51"/>
        <v>395432628505353.19</v>
      </c>
      <c r="N46" s="11">
        <f t="shared" si="51"/>
        <v>400872548795280.38</v>
      </c>
      <c r="O46" s="11">
        <f t="shared" si="51"/>
        <v>407274708930937.63</v>
      </c>
      <c r="P46" s="11">
        <f t="shared" si="51"/>
        <v>423965380676096.88</v>
      </c>
      <c r="Q46" s="11">
        <f t="shared" si="51"/>
        <v>434067576694992.75</v>
      </c>
      <c r="R46" s="107">
        <f t="shared" si="51"/>
        <v>387370715337071.81</v>
      </c>
      <c r="S46" s="107">
        <f t="shared" si="51"/>
        <v>394500310738078.19</v>
      </c>
      <c r="T46" s="107">
        <f t="shared" si="51"/>
        <v>401781588524888.19</v>
      </c>
      <c r="U46" s="107">
        <f t="shared" si="51"/>
        <v>409137693672352.25</v>
      </c>
      <c r="V46" s="107">
        <f t="shared" si="51"/>
        <v>416503086831366.88</v>
      </c>
      <c r="W46" s="107">
        <f t="shared" si="51"/>
        <v>423882869867430.38</v>
      </c>
      <c r="X46" s="107">
        <f t="shared" si="51"/>
        <v>431305953351704.75</v>
      </c>
      <c r="Y46" s="107">
        <f t="shared" si="51"/>
        <v>438880588404718.69</v>
      </c>
      <c r="Z46" s="107">
        <f t="shared" si="51"/>
        <v>446852318655753.38</v>
      </c>
      <c r="AA46" s="107">
        <f t="shared" si="51"/>
        <v>455461520460060.5</v>
      </c>
      <c r="AB46" s="107">
        <f t="shared" si="51"/>
        <v>464780862696737.25</v>
      </c>
      <c r="AC46" s="107">
        <f t="shared" si="51"/>
        <v>474748141851812.81</v>
      </c>
      <c r="AD46" s="107">
        <f t="shared" si="51"/>
        <v>485402472227446.75</v>
      </c>
      <c r="AE46" s="107">
        <f t="shared" si="51"/>
        <v>496935762456649.38</v>
      </c>
      <c r="AF46" s="107">
        <f t="shared" si="51"/>
        <v>509506693638150.38</v>
      </c>
    </row>
    <row r="47" spans="1:32" s="63" customFormat="1" ht="15.75" thickBot="1" x14ac:dyDescent="0.3">
      <c r="A47" s="64" t="s">
        <v>59</v>
      </c>
      <c r="B47" s="65"/>
      <c r="Q47" s="62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</row>
    <row r="48" spans="1:32" x14ac:dyDescent="0.25">
      <c r="A48" s="66" t="s">
        <v>60</v>
      </c>
      <c r="B48" s="67">
        <f>+(B42+B44)/(B45+B46)</f>
        <v>1.958920110286076</v>
      </c>
      <c r="C48" s="67">
        <f t="shared" ref="C48:AF48" si="52">+(C42+C44)/(C45+C46)</f>
        <v>2.3496890955325154</v>
      </c>
      <c r="D48" s="67">
        <f t="shared" si="52"/>
        <v>2.791115303169339</v>
      </c>
      <c r="E48" s="67">
        <f t="shared" si="52"/>
        <v>3.1482547367491724</v>
      </c>
      <c r="F48" s="67">
        <f t="shared" si="52"/>
        <v>3.2754845118530809</v>
      </c>
      <c r="G48" s="67">
        <f t="shared" si="52"/>
        <v>3.5238127671438693</v>
      </c>
      <c r="H48" s="67">
        <f t="shared" si="52"/>
        <v>3.2707340311058184</v>
      </c>
      <c r="I48" s="67">
        <f t="shared" si="52"/>
        <v>3.3393431684988668</v>
      </c>
      <c r="J48" s="67">
        <f t="shared" si="52"/>
        <v>2.9145588413512846</v>
      </c>
      <c r="K48" s="67">
        <f t="shared" si="52"/>
        <v>2.670737824369954</v>
      </c>
      <c r="L48" s="67">
        <f t="shared" si="52"/>
        <v>2.5897590758599076</v>
      </c>
      <c r="M48" s="67">
        <f t="shared" si="52"/>
        <v>2.6465925742562155</v>
      </c>
      <c r="N48" s="67">
        <f t="shared" si="52"/>
        <v>2.4839373658164141</v>
      </c>
      <c r="O48" s="67">
        <f t="shared" si="52"/>
        <v>1.9284918557338115</v>
      </c>
      <c r="P48" s="67">
        <f t="shared" si="52"/>
        <v>2.3547258380956424</v>
      </c>
      <c r="Q48" s="67">
        <f t="shared" si="52"/>
        <v>2.8831697351271237</v>
      </c>
      <c r="R48" s="108">
        <f t="shared" si="52"/>
        <v>3.4109915004320395</v>
      </c>
      <c r="S48" s="108">
        <f t="shared" si="52"/>
        <v>3.5129347053584006</v>
      </c>
      <c r="T48" s="108">
        <f t="shared" si="52"/>
        <v>3.4797208667730755</v>
      </c>
      <c r="U48" s="108">
        <f t="shared" si="52"/>
        <v>3.7249849287511037</v>
      </c>
      <c r="V48" s="108">
        <f t="shared" si="52"/>
        <v>3.6618644684203732</v>
      </c>
      <c r="W48" s="108">
        <f t="shared" si="52"/>
        <v>3.5972953669129577</v>
      </c>
      <c r="X48" s="108">
        <f t="shared" si="52"/>
        <v>3.6357866095566633</v>
      </c>
      <c r="Y48" s="108">
        <f t="shared" si="52"/>
        <v>3.3797132009832036</v>
      </c>
      <c r="Z48" s="108">
        <f t="shared" si="52"/>
        <v>3.2214450706794415</v>
      </c>
      <c r="AA48" s="108">
        <f t="shared" si="52"/>
        <v>3.0698842292060275</v>
      </c>
      <c r="AB48" s="108">
        <f t="shared" si="52"/>
        <v>3.2506617654662562</v>
      </c>
      <c r="AC48" s="108">
        <f t="shared" si="52"/>
        <v>3.226085911377051</v>
      </c>
      <c r="AD48" s="108">
        <f t="shared" si="52"/>
        <v>3.1091709116702519</v>
      </c>
      <c r="AE48" s="108">
        <f t="shared" si="52"/>
        <v>2.9008262548457053</v>
      </c>
      <c r="AF48" s="108">
        <f t="shared" si="52"/>
        <v>2.7573514729249742</v>
      </c>
    </row>
    <row r="49" spans="1:32" x14ac:dyDescent="0.25">
      <c r="A49" s="66" t="s">
        <v>61</v>
      </c>
      <c r="B49" s="68">
        <f t="shared" ref="B49:AF49" si="53">+B10/B33</f>
        <v>0.81828274015345448</v>
      </c>
      <c r="C49" s="68">
        <f t="shared" si="53"/>
        <v>0.99202044399471745</v>
      </c>
      <c r="D49" s="68">
        <f t="shared" si="53"/>
        <v>1.1817647617098241</v>
      </c>
      <c r="E49" s="68">
        <f t="shared" si="53"/>
        <v>1.3291066093436932</v>
      </c>
      <c r="F49" s="68">
        <f t="shared" si="53"/>
        <v>1.3723427140851969</v>
      </c>
      <c r="G49" s="68">
        <f t="shared" si="53"/>
        <v>1.4686149703045455</v>
      </c>
      <c r="H49" s="68">
        <f t="shared" si="53"/>
        <v>1.345584687332958</v>
      </c>
      <c r="I49" s="68">
        <f t="shared" si="53"/>
        <v>1.3638252489529845</v>
      </c>
      <c r="J49" s="68">
        <f t="shared" si="53"/>
        <v>1.1682654038271156</v>
      </c>
      <c r="K49" s="68">
        <f t="shared" si="53"/>
        <v>1.0561431473423761</v>
      </c>
      <c r="L49" s="68">
        <f t="shared" si="53"/>
        <v>1.017173772826212</v>
      </c>
      <c r="M49" s="68">
        <f t="shared" si="53"/>
        <v>1.0376086405625375</v>
      </c>
      <c r="N49" s="68">
        <f t="shared" si="53"/>
        <v>0.96622668252230204</v>
      </c>
      <c r="O49" s="68">
        <f t="shared" si="53"/>
        <v>0.72902522831883243</v>
      </c>
      <c r="P49" s="68">
        <f t="shared" si="53"/>
        <v>0.92224535818824738</v>
      </c>
      <c r="Q49" s="68">
        <f t="shared" si="53"/>
        <v>1.1511805711285612</v>
      </c>
      <c r="R49" s="109">
        <f t="shared" si="53"/>
        <v>1.3658150475259208</v>
      </c>
      <c r="S49" s="109">
        <f t="shared" si="53"/>
        <v>1.3978883309645411</v>
      </c>
      <c r="T49" s="109">
        <f t="shared" si="53"/>
        <v>1.3708821343942204</v>
      </c>
      <c r="U49" s="109">
        <f t="shared" si="53"/>
        <v>1.4644212951304951</v>
      </c>
      <c r="V49" s="109">
        <f t="shared" si="53"/>
        <v>1.4224937943286444</v>
      </c>
      <c r="W49" s="109">
        <f t="shared" si="53"/>
        <v>1.381354834730085</v>
      </c>
      <c r="X49" s="109">
        <f t="shared" si="53"/>
        <v>1.3858091016325216</v>
      </c>
      <c r="Y49" s="109">
        <f t="shared" si="53"/>
        <v>1.2638690643841703</v>
      </c>
      <c r="Z49" s="109">
        <f t="shared" si="53"/>
        <v>1.1880254276441864</v>
      </c>
      <c r="AA49" s="109">
        <f t="shared" si="53"/>
        <v>1.1177979851561135</v>
      </c>
      <c r="AB49" s="109">
        <f t="shared" si="53"/>
        <v>1.1924647732172013</v>
      </c>
      <c r="AC49" s="109">
        <f t="shared" si="53"/>
        <v>1.1769851093768322</v>
      </c>
      <c r="AD49" s="109">
        <f t="shared" si="53"/>
        <v>1.1227472841934143</v>
      </c>
      <c r="AE49" s="109">
        <f t="shared" si="53"/>
        <v>1.031502039936367</v>
      </c>
      <c r="AF49" s="109">
        <f t="shared" si="53"/>
        <v>0.97132063899285326</v>
      </c>
    </row>
    <row r="50" spans="1:32" x14ac:dyDescent="0.25">
      <c r="A50" s="66" t="s">
        <v>62</v>
      </c>
      <c r="B50" s="68">
        <f t="shared" ref="B50:AF50" si="54">+B19/B57</f>
        <v>1.1133035806915001</v>
      </c>
      <c r="C50" s="68">
        <f t="shared" si="54"/>
        <v>0.96366880404914679</v>
      </c>
      <c r="D50" s="68">
        <f t="shared" si="54"/>
        <v>0.83000389148452758</v>
      </c>
      <c r="E50" s="68">
        <f t="shared" si="54"/>
        <v>0.75763743806052553</v>
      </c>
      <c r="F50" s="68">
        <f t="shared" si="54"/>
        <v>0.74838360172307539</v>
      </c>
      <c r="G50" s="68">
        <f t="shared" si="54"/>
        <v>0.66159744219492289</v>
      </c>
      <c r="H50" s="68">
        <f t="shared" si="54"/>
        <v>0.69451929369718268</v>
      </c>
      <c r="I50" s="68">
        <f t="shared" si="54"/>
        <v>0.68453218410196259</v>
      </c>
      <c r="J50" s="68">
        <f t="shared" si="54"/>
        <v>0.80252348633945436</v>
      </c>
      <c r="K50" s="68">
        <f t="shared" si="54"/>
        <v>0.88077630776269733</v>
      </c>
      <c r="L50" s="68">
        <f t="shared" si="54"/>
        <v>0.87084552013176397</v>
      </c>
      <c r="M50" s="68">
        <f t="shared" si="54"/>
        <v>0.90438684607425002</v>
      </c>
      <c r="N50" s="68">
        <f t="shared" si="54"/>
        <v>1.0231847763229422</v>
      </c>
      <c r="O50" s="68">
        <f t="shared" si="54"/>
        <v>1.3946386492256519</v>
      </c>
      <c r="P50" s="68">
        <f t="shared" si="54"/>
        <v>1.052807282731822</v>
      </c>
      <c r="Q50" s="68">
        <f t="shared" si="54"/>
        <v>0.79061070894017371</v>
      </c>
      <c r="R50" s="109">
        <f t="shared" si="54"/>
        <v>0.79061070894017371</v>
      </c>
      <c r="S50" s="109">
        <f t="shared" si="54"/>
        <v>0.79061070894017371</v>
      </c>
      <c r="T50" s="109">
        <f t="shared" si="54"/>
        <v>0.79061070894017371</v>
      </c>
      <c r="U50" s="109">
        <f t="shared" si="54"/>
        <v>0.79061070894017371</v>
      </c>
      <c r="V50" s="109">
        <f t="shared" si="54"/>
        <v>0.79061070894017371</v>
      </c>
      <c r="W50" s="109">
        <f t="shared" si="54"/>
        <v>0.79061070894017371</v>
      </c>
      <c r="X50" s="109">
        <f t="shared" si="54"/>
        <v>0.79061070894017371</v>
      </c>
      <c r="Y50" s="109">
        <f t="shared" si="54"/>
        <v>0.79061070894017371</v>
      </c>
      <c r="Z50" s="109">
        <f t="shared" si="54"/>
        <v>0.79061070894017371</v>
      </c>
      <c r="AA50" s="109">
        <f t="shared" si="54"/>
        <v>0.79061070894017371</v>
      </c>
      <c r="AB50" s="109">
        <f t="shared" si="54"/>
        <v>0.79061070894017371</v>
      </c>
      <c r="AC50" s="109">
        <f t="shared" si="54"/>
        <v>0.79061070894017371</v>
      </c>
      <c r="AD50" s="109">
        <f t="shared" si="54"/>
        <v>0.79061070894017371</v>
      </c>
      <c r="AE50" s="109">
        <f t="shared" si="54"/>
        <v>0.79061070894017371</v>
      </c>
      <c r="AF50" s="109">
        <f t="shared" si="54"/>
        <v>0.79061070894017371</v>
      </c>
    </row>
    <row r="51" spans="1:32" x14ac:dyDescent="0.25"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</row>
    <row r="52" spans="1:32" x14ac:dyDescent="0.25">
      <c r="A52" t="s">
        <v>63</v>
      </c>
      <c r="B52" s="69">
        <f>+B48</f>
        <v>1.958920110286076</v>
      </c>
      <c r="C52" s="69">
        <f>+AVERAGE(B48:C48)</f>
        <v>2.1543046029092956</v>
      </c>
      <c r="D52" s="69">
        <f>+AVERAGE(B48:D48)</f>
        <v>2.3665748363293102</v>
      </c>
      <c r="E52" s="69">
        <f>+AVERAGE(B48:E48)</f>
        <v>2.5619948114342757</v>
      </c>
      <c r="F52" s="69">
        <f>+AVERAGE(B48:F48)</f>
        <v>2.7046927515180368</v>
      </c>
      <c r="G52" s="69">
        <f>+AVERAGE(C48:G48)</f>
        <v>3.0176712828895953</v>
      </c>
      <c r="H52" s="69">
        <f t="shared" ref="H52:Q53" si="55">+AVERAGE(D48:H48)</f>
        <v>3.2018802700042563</v>
      </c>
      <c r="I52" s="69">
        <f t="shared" si="55"/>
        <v>3.3115258430701617</v>
      </c>
      <c r="J52" s="69">
        <f t="shared" si="55"/>
        <v>3.2647866639905834</v>
      </c>
      <c r="K52" s="69">
        <f t="shared" si="55"/>
        <v>3.143837326493959</v>
      </c>
      <c r="L52" s="69">
        <f t="shared" si="55"/>
        <v>2.9570265882371665</v>
      </c>
      <c r="M52" s="69">
        <f t="shared" si="55"/>
        <v>2.8321982968672459</v>
      </c>
      <c r="N52" s="69">
        <f t="shared" si="55"/>
        <v>2.6611171363307555</v>
      </c>
      <c r="O52" s="69">
        <f t="shared" si="55"/>
        <v>2.4639037392072609</v>
      </c>
      <c r="P52" s="69">
        <f t="shared" si="55"/>
        <v>2.4007013419523986</v>
      </c>
      <c r="Q52" s="111">
        <f t="shared" si="55"/>
        <v>2.4593834738058415</v>
      </c>
      <c r="R52" s="110">
        <f t="shared" ref="R52:R53" si="56">+AVERAGE(N48:R48)</f>
        <v>2.6122632590410064</v>
      </c>
      <c r="S52" s="110">
        <f t="shared" ref="S52:S53" si="57">+AVERAGE(O48:S48)</f>
        <v>2.8180627269494036</v>
      </c>
      <c r="T52" s="110">
        <f t="shared" ref="T52:T53" si="58">+AVERAGE(P48:T48)</f>
        <v>3.1283085291572563</v>
      </c>
      <c r="U52" s="110">
        <f t="shared" ref="U52:U53" si="59">+AVERAGE(Q48:U48)</f>
        <v>3.4023603472883481</v>
      </c>
      <c r="V52" s="110">
        <f t="shared" ref="V52:V53" si="60">+AVERAGE(R48:V48)</f>
        <v>3.5580992939469986</v>
      </c>
      <c r="W52" s="110">
        <f t="shared" ref="W52:W53" si="61">+AVERAGE(S48:W48)</f>
        <v>3.595360067243182</v>
      </c>
      <c r="X52" s="110">
        <f t="shared" ref="X52:X53" si="62">+AVERAGE(T48:X48)</f>
        <v>3.6199304480828345</v>
      </c>
      <c r="Y52" s="110">
        <f t="shared" ref="Y52:Y53" si="63">+AVERAGE(U48:Y48)</f>
        <v>3.5999289149248606</v>
      </c>
      <c r="Z52" s="110">
        <f t="shared" ref="Z52:Z53" si="64">+AVERAGE(V48:Z48)</f>
        <v>3.4992209433105281</v>
      </c>
      <c r="AA52" s="110">
        <f t="shared" ref="AA52:AA53" si="65">+AVERAGE(W48:AA48)</f>
        <v>3.3808248954676587</v>
      </c>
      <c r="AB52" s="110">
        <f t="shared" ref="AB52:AB53" si="66">+AVERAGE(X48:AB48)</f>
        <v>3.3114981751783183</v>
      </c>
      <c r="AC52" s="110">
        <f t="shared" ref="AC52:AC53" si="67">+AVERAGE(Y48:AC48)</f>
        <v>3.2295580355423956</v>
      </c>
      <c r="AD52" s="110">
        <f t="shared" ref="AD52:AD53" si="68">+AVERAGE(Z48:AD48)</f>
        <v>3.1754495776798057</v>
      </c>
      <c r="AE52" s="110">
        <f t="shared" ref="AE52:AE53" si="69">+AVERAGE(AA48:AE48)</f>
        <v>3.1113258145130582</v>
      </c>
      <c r="AF52" s="110">
        <f t="shared" ref="AF52:AF53" si="70">+AVERAGE(AB48:AF48)</f>
        <v>3.0488192632568478</v>
      </c>
    </row>
    <row r="53" spans="1:32" x14ac:dyDescent="0.25">
      <c r="A53" t="s">
        <v>64</v>
      </c>
      <c r="B53" s="69">
        <f>+B48</f>
        <v>1.958920110286076</v>
      </c>
      <c r="C53" s="69">
        <f>+AVERAGE(B49:C49)</f>
        <v>0.90515159207408602</v>
      </c>
      <c r="D53" s="68">
        <f>+AVERAGE(B49:D49)</f>
        <v>0.99735598195266528</v>
      </c>
      <c r="E53" s="69">
        <f>+AVERAGE(B49:E49)</f>
        <v>1.0802936388004223</v>
      </c>
      <c r="F53" s="69">
        <f>+AVERAGE(B49:F49)</f>
        <v>1.1387034538573773</v>
      </c>
      <c r="G53" s="69">
        <f>+AVERAGE(C49:G49)</f>
        <v>1.2687698998875954</v>
      </c>
      <c r="H53" s="69">
        <f t="shared" si="55"/>
        <v>1.3394827485552436</v>
      </c>
      <c r="I53" s="69">
        <f t="shared" si="55"/>
        <v>1.3758948460038758</v>
      </c>
      <c r="J53" s="69">
        <f t="shared" si="55"/>
        <v>1.3437266049005603</v>
      </c>
      <c r="K53" s="69">
        <f t="shared" si="55"/>
        <v>1.2804866915519959</v>
      </c>
      <c r="L53" s="69">
        <f t="shared" si="55"/>
        <v>1.1901984520563293</v>
      </c>
      <c r="M53" s="69">
        <f t="shared" si="55"/>
        <v>1.1286032427022454</v>
      </c>
      <c r="N53" s="69">
        <f t="shared" si="55"/>
        <v>1.0490835294161087</v>
      </c>
      <c r="O53" s="69">
        <f t="shared" si="55"/>
        <v>0.9612354943144521</v>
      </c>
      <c r="P53" s="69">
        <f t="shared" si="55"/>
        <v>0.93445593648362624</v>
      </c>
      <c r="Q53" s="111">
        <f t="shared" si="55"/>
        <v>0.96125729614409605</v>
      </c>
      <c r="R53" s="110">
        <f t="shared" si="56"/>
        <v>1.0268985775367727</v>
      </c>
      <c r="S53" s="110">
        <f t="shared" si="57"/>
        <v>1.1132309072252204</v>
      </c>
      <c r="T53" s="110">
        <f t="shared" si="58"/>
        <v>1.2416022884402982</v>
      </c>
      <c r="U53" s="110">
        <f t="shared" si="59"/>
        <v>1.3500374758287477</v>
      </c>
      <c r="V53" s="110">
        <f t="shared" si="60"/>
        <v>1.4043001204687642</v>
      </c>
      <c r="W53" s="110">
        <f t="shared" si="61"/>
        <v>1.407408077909597</v>
      </c>
      <c r="X53" s="110">
        <f t="shared" si="62"/>
        <v>1.4049922320431931</v>
      </c>
      <c r="Y53" s="110">
        <f t="shared" si="63"/>
        <v>1.3835896180411833</v>
      </c>
      <c r="Z53" s="110">
        <f t="shared" si="64"/>
        <v>1.3283104445439216</v>
      </c>
      <c r="AA53" s="110">
        <f t="shared" si="65"/>
        <v>1.2673712827094152</v>
      </c>
      <c r="AB53" s="110">
        <f t="shared" si="66"/>
        <v>1.2295932704068386</v>
      </c>
      <c r="AC53" s="110">
        <f t="shared" si="67"/>
        <v>1.1878284719557008</v>
      </c>
      <c r="AD53" s="110">
        <f t="shared" si="68"/>
        <v>1.1596041159175496</v>
      </c>
      <c r="AE53" s="110">
        <f t="shared" si="69"/>
        <v>1.1282994383759857</v>
      </c>
      <c r="AF53" s="110">
        <f t="shared" si="70"/>
        <v>1.0990039691433335</v>
      </c>
    </row>
    <row r="54" spans="1:32" x14ac:dyDescent="0.25">
      <c r="A54" s="8" t="s">
        <v>80</v>
      </c>
      <c r="D54" s="70"/>
      <c r="R54" s="113">
        <f>0.4*R52+0.6*R53</f>
        <v>1.6610444501384662</v>
      </c>
      <c r="S54" s="113">
        <f t="shared" ref="S54:AF54" si="71">0.4*S52+0.6*S53</f>
        <v>1.7951636351148936</v>
      </c>
      <c r="T54" s="113">
        <f t="shared" si="71"/>
        <v>1.9962847847270815</v>
      </c>
      <c r="U54" s="113">
        <f t="shared" si="71"/>
        <v>2.1709666244125878</v>
      </c>
      <c r="V54" s="113">
        <f t="shared" si="71"/>
        <v>2.2658197898600583</v>
      </c>
      <c r="W54" s="113">
        <f t="shared" si="71"/>
        <v>2.2825888736430313</v>
      </c>
      <c r="X54" s="113">
        <f t="shared" si="71"/>
        <v>2.2909675184590497</v>
      </c>
      <c r="Y54" s="113">
        <f t="shared" si="71"/>
        <v>2.2701253367946546</v>
      </c>
      <c r="Z54" s="113">
        <f t="shared" si="71"/>
        <v>2.1966746440505642</v>
      </c>
      <c r="AA54" s="113">
        <f t="shared" si="71"/>
        <v>2.1127527278127127</v>
      </c>
      <c r="AB54" s="113">
        <f t="shared" si="71"/>
        <v>2.0623552323154306</v>
      </c>
      <c r="AC54" s="113">
        <f t="shared" si="71"/>
        <v>2.0045202973903788</v>
      </c>
      <c r="AD54" s="113">
        <f t="shared" si="71"/>
        <v>1.9659423006224521</v>
      </c>
      <c r="AE54" s="113">
        <f t="shared" si="71"/>
        <v>1.9215099888308149</v>
      </c>
      <c r="AF54" s="113">
        <f t="shared" si="71"/>
        <v>1.8789300867887393</v>
      </c>
    </row>
    <row r="55" spans="1:32" x14ac:dyDescent="0.25">
      <c r="D55" s="7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</row>
    <row r="56" spans="1:32" x14ac:dyDescent="0.25">
      <c r="A56" t="s">
        <v>65</v>
      </c>
      <c r="B56" s="4">
        <f t="shared" ref="B56:Q56" si="72">+B8/(0.11+0.17)</f>
        <v>752502.28809387609</v>
      </c>
      <c r="C56" s="4">
        <f t="shared" si="72"/>
        <v>869347.94225292106</v>
      </c>
      <c r="D56" s="4">
        <f t="shared" si="72"/>
        <v>1009348.8722264337</v>
      </c>
      <c r="E56" s="4">
        <f t="shared" si="72"/>
        <v>1105757.7803415419</v>
      </c>
      <c r="F56" s="4">
        <f t="shared" si="72"/>
        <v>1119430.5833059354</v>
      </c>
      <c r="G56" s="4">
        <f t="shared" si="72"/>
        <v>1266273.7767456986</v>
      </c>
      <c r="H56" s="4">
        <f t="shared" si="72"/>
        <v>1206249.4151224147</v>
      </c>
      <c r="I56" s="4">
        <f t="shared" si="72"/>
        <v>1223848.2152778844</v>
      </c>
      <c r="J56" s="4">
        <f t="shared" si="72"/>
        <v>1043911.4942725786</v>
      </c>
      <c r="K56" s="4">
        <f t="shared" si="72"/>
        <v>951164.88083279948</v>
      </c>
      <c r="L56" s="4">
        <f t="shared" si="72"/>
        <v>962011.59958507994</v>
      </c>
      <c r="M56" s="4">
        <f t="shared" si="72"/>
        <v>926333.12331997242</v>
      </c>
      <c r="N56" s="4">
        <f t="shared" si="72"/>
        <v>818780.25474945141</v>
      </c>
      <c r="O56" s="4">
        <f t="shared" si="72"/>
        <v>600702.90772352554</v>
      </c>
      <c r="P56" s="4">
        <f t="shared" si="72"/>
        <v>795742.4930036884</v>
      </c>
      <c r="Q56" s="4">
        <f t="shared" si="72"/>
        <v>1059640.9615251664</v>
      </c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</row>
    <row r="57" spans="1:32" s="29" customFormat="1" x14ac:dyDescent="0.25">
      <c r="A57" s="29" t="s">
        <v>66</v>
      </c>
      <c r="B57" s="112">
        <f>+B56*(1-0.11-0.03-0.03)</f>
        <v>624576.89911791717</v>
      </c>
      <c r="C57" s="112">
        <f t="shared" ref="C57:Q57" si="73">+C56*(1-0.11-0.03-0.03)</f>
        <v>721558.79206992441</v>
      </c>
      <c r="D57" s="112">
        <f t="shared" si="73"/>
        <v>837759.5639479399</v>
      </c>
      <c r="E57" s="112">
        <f t="shared" si="73"/>
        <v>917778.95768347965</v>
      </c>
      <c r="F57" s="112">
        <f t="shared" si="73"/>
        <v>929127.38414392632</v>
      </c>
      <c r="G57" s="112">
        <f t="shared" si="73"/>
        <v>1051007.2346989298</v>
      </c>
      <c r="H57" s="112">
        <f t="shared" si="73"/>
        <v>1001187.0145516042</v>
      </c>
      <c r="I57" s="112">
        <f t="shared" si="73"/>
        <v>1015794.018680644</v>
      </c>
      <c r="J57" s="112">
        <f t="shared" si="73"/>
        <v>866446.54024624021</v>
      </c>
      <c r="K57" s="112">
        <f t="shared" si="73"/>
        <v>789466.85109122354</v>
      </c>
      <c r="L57" s="112">
        <f t="shared" si="73"/>
        <v>798469.62765561626</v>
      </c>
      <c r="M57" s="112">
        <f t="shared" si="73"/>
        <v>768856.49235557707</v>
      </c>
      <c r="N57" s="112">
        <f t="shared" si="73"/>
        <v>679587.61144204461</v>
      </c>
      <c r="O57" s="112">
        <f t="shared" si="73"/>
        <v>498583.41341052618</v>
      </c>
      <c r="P57" s="112">
        <f t="shared" si="73"/>
        <v>660466.26919306139</v>
      </c>
      <c r="Q57" s="112">
        <f t="shared" si="73"/>
        <v>879501.99806588807</v>
      </c>
      <c r="R57" s="112">
        <f>+constantes!$B$19</f>
        <v>879501.99806588807</v>
      </c>
      <c r="S57" s="112">
        <f>+constantes!$B$19</f>
        <v>879501.99806588807</v>
      </c>
      <c r="T57" s="112">
        <f>+constantes!$B$19</f>
        <v>879501.99806588807</v>
      </c>
      <c r="U57" s="112">
        <f>+constantes!$B$19</f>
        <v>879501.99806588807</v>
      </c>
      <c r="V57" s="112">
        <f>+constantes!$B$19</f>
        <v>879501.99806588807</v>
      </c>
      <c r="W57" s="112">
        <f>+constantes!$B$19</f>
        <v>879501.99806588807</v>
      </c>
      <c r="X57" s="112">
        <f>+constantes!$B$19</f>
        <v>879501.99806588807</v>
      </c>
      <c r="Y57" s="112">
        <f>+constantes!$B$19</f>
        <v>879501.99806588807</v>
      </c>
      <c r="Z57" s="112">
        <f>+constantes!$B$19</f>
        <v>879501.99806588807</v>
      </c>
      <c r="AA57" s="112">
        <f>+constantes!$B$19</f>
        <v>879501.99806588807</v>
      </c>
      <c r="AB57" s="112">
        <f>+constantes!$B$19</f>
        <v>879501.99806588807</v>
      </c>
      <c r="AC57" s="112">
        <f>+constantes!$B$19</f>
        <v>879501.99806588807</v>
      </c>
      <c r="AD57" s="112">
        <f>+constantes!$B$19</f>
        <v>879501.99806588807</v>
      </c>
      <c r="AE57" s="112">
        <f>+constantes!$B$19</f>
        <v>879501.99806588807</v>
      </c>
      <c r="AF57" s="112">
        <f>+constantes!$B$19</f>
        <v>879501.99806588807</v>
      </c>
    </row>
    <row r="58" spans="1:32" x14ac:dyDescent="0.25">
      <c r="B58" s="71"/>
      <c r="C58" s="71"/>
      <c r="D58" s="71"/>
    </row>
    <row r="59" spans="1:32" x14ac:dyDescent="0.25">
      <c r="A59" t="s">
        <v>67</v>
      </c>
      <c r="B59">
        <v>1</v>
      </c>
      <c r="D59" s="71"/>
      <c r="P59" t="s">
        <v>68</v>
      </c>
      <c r="Q59" s="72">
        <f>+(Q45+Q46)-Q44-Q42</f>
        <v>-870245364787226.25</v>
      </c>
    </row>
    <row r="60" spans="1:32" ht="45" x14ac:dyDescent="0.25">
      <c r="A60" t="s">
        <v>13</v>
      </c>
      <c r="B60">
        <v>1.2500000000000001E-2</v>
      </c>
      <c r="P60" s="73" t="s">
        <v>69</v>
      </c>
      <c r="Q60" s="72">
        <f>+Q42+Q59</f>
        <v>-741806013334931.5</v>
      </c>
    </row>
    <row r="61" spans="1:32" x14ac:dyDescent="0.25">
      <c r="A61" t="s">
        <v>70</v>
      </c>
      <c r="B61">
        <f>+[7]pensiones_seg_edad!J4</f>
        <v>0.18234941161999774</v>
      </c>
    </row>
    <row r="62" spans="1:32" x14ac:dyDescent="0.25">
      <c r="A62" t="s">
        <v>71</v>
      </c>
      <c r="B62" s="74">
        <f>+[7]haber_medio_morat!N37</f>
        <v>-0.44399455599417648</v>
      </c>
      <c r="Q62" s="71"/>
    </row>
    <row r="63" spans="1:32" x14ac:dyDescent="0.25">
      <c r="A63" t="s">
        <v>72</v>
      </c>
      <c r="B63">
        <f>+[7]haber_medio_morat!P37</f>
        <v>-0.78529600553545076</v>
      </c>
    </row>
    <row r="64" spans="1:32" x14ac:dyDescent="0.25">
      <c r="A64" t="s">
        <v>73</v>
      </c>
      <c r="B64">
        <f>+[7]pensionados_composicion!L34</f>
        <v>21.348257018514083</v>
      </c>
    </row>
    <row r="65" spans="1:7" x14ac:dyDescent="0.25">
      <c r="A65" t="s">
        <v>74</v>
      </c>
      <c r="B65">
        <f>[7]jubilados_composicion!L32</f>
        <v>12.939231022180321</v>
      </c>
    </row>
    <row r="67" spans="1:7" x14ac:dyDescent="0.25">
      <c r="A67" s="8" t="s">
        <v>75</v>
      </c>
      <c r="B67">
        <f>+[7]jubilados_composicion!L33</f>
        <v>71.028548580145184</v>
      </c>
    </row>
    <row r="68" spans="1:7" x14ac:dyDescent="0.25">
      <c r="A68" s="8" t="s">
        <v>76</v>
      </c>
      <c r="B68">
        <f>+[7]edad_aportantes!H4</f>
        <v>41.342032140436629</v>
      </c>
    </row>
    <row r="69" spans="1:7" x14ac:dyDescent="0.25">
      <c r="A69" s="8"/>
    </row>
    <row r="70" spans="1:7" x14ac:dyDescent="0.25">
      <c r="A70" s="6" t="s">
        <v>18</v>
      </c>
    </row>
    <row r="71" spans="1:7" x14ac:dyDescent="0.25">
      <c r="A71" s="75" t="s">
        <v>77</v>
      </c>
      <c r="B71" s="76"/>
      <c r="C71" s="76"/>
      <c r="D71" s="76"/>
      <c r="E71" s="76"/>
      <c r="F71" s="76"/>
      <c r="G71" s="76"/>
    </row>
    <row r="72" spans="1:7" x14ac:dyDescent="0.25">
      <c r="A72" s="13"/>
    </row>
  </sheetData>
  <conditionalFormatting sqref="B35:XFD35">
    <cfRule type="cellIs" dxfId="1" priority="1" operator="lessThan">
      <formula>0</formula>
    </cfRule>
    <cfRule type="cellIs" dxfId="0" priority="2" operator="greaterThanOrEqual">
      <formula>0</formula>
    </cfRule>
  </conditionalFormatting>
  <hyperlinks>
    <hyperlink ref="A70" location="Ref!A1" display="INDICE" xr:uid="{85335042-2F31-4496-8D91-41B19445FCE9}"/>
  </hyperlink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3549-DB1A-4BCD-BFC4-545224375464}">
  <dimension ref="A1:O2"/>
  <sheetViews>
    <sheetView workbookViewId="0">
      <selection activeCell="F33" sqref="F33"/>
    </sheetView>
  </sheetViews>
  <sheetFormatPr baseColWidth="10" defaultRowHeight="15" x14ac:dyDescent="0.25"/>
  <cols>
    <col min="1" max="1" width="32.28515625" customWidth="1"/>
    <col min="2" max="2" width="20.140625" customWidth="1"/>
  </cols>
  <sheetData>
    <row r="1" spans="1:15" ht="15.75" thickBot="1" x14ac:dyDescent="0.3">
      <c r="A1" s="77">
        <v>2026</v>
      </c>
      <c r="B1" s="77">
        <v>2027</v>
      </c>
      <c r="C1" s="77">
        <v>2028</v>
      </c>
      <c r="D1" s="77">
        <v>2029</v>
      </c>
      <c r="E1" s="77">
        <v>2030</v>
      </c>
      <c r="F1" s="77">
        <v>2031</v>
      </c>
      <c r="G1" s="77">
        <v>2032</v>
      </c>
      <c r="H1" s="77">
        <v>2033</v>
      </c>
      <c r="I1" s="77">
        <v>2034</v>
      </c>
      <c r="J1" s="77">
        <v>2035</v>
      </c>
      <c r="K1" s="77">
        <v>2036</v>
      </c>
      <c r="L1" s="77">
        <v>2037</v>
      </c>
      <c r="M1" s="77">
        <v>2038</v>
      </c>
      <c r="N1" s="77">
        <v>2039</v>
      </c>
      <c r="O1" s="77">
        <v>2040</v>
      </c>
    </row>
    <row r="2" spans="1:15" ht="15.75" thickBot="1" x14ac:dyDescent="0.3">
      <c r="A2" s="78">
        <v>-1.4690449999999999</v>
      </c>
      <c r="B2" s="78">
        <v>-1.9155549999999999</v>
      </c>
      <c r="C2" s="78">
        <v>0.69251499999999999</v>
      </c>
      <c r="D2" s="78">
        <v>-4.6705620000000003</v>
      </c>
      <c r="E2" s="78">
        <v>1.388482</v>
      </c>
      <c r="F2" s="78">
        <v>1.3705700000000001</v>
      </c>
      <c r="G2" s="78">
        <v>-0.71560999999999997</v>
      </c>
      <c r="H2" s="78">
        <v>5.1014879999999998</v>
      </c>
      <c r="I2" s="78">
        <v>2.9954740000000002</v>
      </c>
      <c r="J2" s="78">
        <v>2.6855039999999999</v>
      </c>
      <c r="K2" s="78">
        <v>-4.3346929999999997</v>
      </c>
      <c r="L2" s="78">
        <v>-0.199716</v>
      </c>
      <c r="M2" s="78">
        <v>1.610026</v>
      </c>
      <c r="N2" s="78">
        <v>3.404093</v>
      </c>
      <c r="O2" s="78">
        <v>1.7764040000000001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historial_ratios</vt:lpstr>
      <vt:lpstr>constantes</vt:lpstr>
      <vt:lpstr>proyeccion_pob</vt:lpstr>
      <vt:lpstr>tabla_mort</vt:lpstr>
      <vt:lpstr>NDC_25-40_morat</vt:lpstr>
      <vt:lpstr>vector_shock_infor_1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Josefina María Esnaola Borbore</dc:creator>
  <cp:lastModifiedBy>Josefina María Esnaola Borbore</cp:lastModifiedBy>
  <dcterms:created xsi:type="dcterms:W3CDTF">2026-05-02T22:37:11Z</dcterms:created>
  <dcterms:modified xsi:type="dcterms:W3CDTF">2026-05-03T21:27:18Z</dcterms:modified>
</cp:coreProperties>
</file>