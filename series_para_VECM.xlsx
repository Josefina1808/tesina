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economicasuba-my.sharepoint.com/personal/74es44317904_campus_economicas_uba_ar/Documents/1 UBA/MATERIAS/20 TESINA/Josefina/numeros/"/>
    </mc:Choice>
  </mc:AlternateContent>
  <xr:revisionPtr revIDLastSave="234" documentId="8_{7AB0D976-473E-4A86-B54D-B5894CB22998}" xr6:coauthVersionLast="47" xr6:coauthVersionMax="47" xr10:uidLastSave="{E090A908-EF1C-460E-A012-855575393A32}"/>
  <bookViews>
    <workbookView xWindow="3735" yWindow="0" windowWidth="21600" windowHeight="11040" activeTab="3" xr2:uid="{176E1364-F9C4-4CED-9911-625951C8D220}"/>
  </bookViews>
  <sheets>
    <sheet name="informalidad" sheetId="3" r:id="rId1"/>
    <sheet name="ipc" sheetId="1" r:id="rId2"/>
    <sheet name="pbi" sheetId="2" r:id="rId3"/>
    <sheet name="together" sheetId="4" r:id="rId4"/>
    <sheet name="elas_infor_pbi" sheetId="6" r:id="rId5"/>
    <sheet name="var_condicion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" l="1"/>
  <c r="L3" i="4" s="1"/>
  <c r="K3" i="6"/>
  <c r="J3" i="6"/>
  <c r="I3" i="6"/>
  <c r="H3" i="6"/>
  <c r="J2" i="6"/>
  <c r="K2" i="6"/>
  <c r="I2" i="6"/>
  <c r="H2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" i="6"/>
  <c r="C3" i="6" a="1"/>
  <c r="C3" i="6" s="1"/>
  <c r="A3" i="6" a="1"/>
  <c r="A3" i="6" s="1"/>
  <c r="B3" i="6" a="1"/>
  <c r="B3" i="6" s="1"/>
  <c r="K3" i="4"/>
  <c r="H2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C13" i="5"/>
  <c r="C12" i="5"/>
  <c r="C11" i="5"/>
  <c r="C10" i="5"/>
  <c r="C9" i="5"/>
  <c r="C8" i="5"/>
  <c r="C7" i="5"/>
  <c r="C6" i="5"/>
  <c r="C5" i="5"/>
  <c r="C4" i="5"/>
  <c r="C3" i="5"/>
  <c r="C2" i="5"/>
  <c r="A2" i="5" a="1"/>
  <c r="A2" i="5" s="1"/>
  <c r="J36" i="4"/>
  <c r="I36" i="4"/>
  <c r="J35" i="4"/>
  <c r="I35" i="4"/>
  <c r="J34" i="4"/>
  <c r="I34" i="4"/>
  <c r="J33" i="4"/>
  <c r="I33" i="4"/>
  <c r="J32" i="4"/>
  <c r="I32" i="4"/>
  <c r="J31" i="4"/>
  <c r="I31" i="4"/>
  <c r="J30" i="4"/>
  <c r="I30" i="4"/>
  <c r="J29" i="4"/>
  <c r="I29" i="4"/>
  <c r="J28" i="4"/>
  <c r="I28" i="4"/>
  <c r="J27" i="4"/>
  <c r="I27" i="4"/>
  <c r="J26" i="4"/>
  <c r="I26" i="4"/>
  <c r="J25" i="4"/>
  <c r="I25" i="4"/>
  <c r="J24" i="4"/>
  <c r="I24" i="4"/>
  <c r="J23" i="4"/>
  <c r="I23" i="4"/>
  <c r="J22" i="4"/>
  <c r="I22" i="4"/>
  <c r="J21" i="4"/>
  <c r="I21" i="4"/>
  <c r="J20" i="4"/>
  <c r="I20" i="4"/>
  <c r="J19" i="4"/>
  <c r="I19" i="4"/>
  <c r="J18" i="4"/>
  <c r="I18" i="4"/>
  <c r="J17" i="4"/>
  <c r="I17" i="4"/>
  <c r="J16" i="4"/>
  <c r="I16" i="4"/>
  <c r="J15" i="4"/>
  <c r="I15" i="4"/>
  <c r="J14" i="4"/>
  <c r="I14" i="4"/>
  <c r="J13" i="4"/>
  <c r="I13" i="4"/>
  <c r="J12" i="4"/>
  <c r="I12" i="4"/>
  <c r="J11" i="4"/>
  <c r="I11" i="4"/>
  <c r="J10" i="4"/>
  <c r="I10" i="4"/>
  <c r="J9" i="4"/>
  <c r="I9" i="4"/>
  <c r="J8" i="4"/>
  <c r="I8" i="4"/>
  <c r="J7" i="4"/>
  <c r="I7" i="4"/>
  <c r="J6" i="4"/>
  <c r="I6" i="4"/>
  <c r="J5" i="4"/>
  <c r="I5" i="4"/>
  <c r="J4" i="4"/>
  <c r="I4" i="4"/>
  <c r="J3" i="4"/>
  <c r="I3" i="4"/>
  <c r="J2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D1" i="4" a="1"/>
  <c r="D1" i="4" s="1"/>
  <c r="C1" i="4" a="1"/>
  <c r="C1" i="4" s="1"/>
  <c r="A1" i="4" a="1"/>
  <c r="A1" i="4" s="1"/>
  <c r="G34" i="4" l="1"/>
  <c r="G30" i="4"/>
  <c r="G26" i="4"/>
  <c r="G22" i="4"/>
  <c r="G18" i="4"/>
  <c r="G14" i="4"/>
  <c r="G10" i="4"/>
  <c r="G6" i="4"/>
  <c r="G31" i="4"/>
  <c r="G23" i="4"/>
  <c r="G15" i="4"/>
  <c r="G7" i="4"/>
  <c r="G3" i="4"/>
  <c r="G33" i="4"/>
  <c r="G29" i="4"/>
  <c r="G25" i="4"/>
  <c r="G21" i="4"/>
  <c r="G17" i="4"/>
  <c r="G13" i="4"/>
  <c r="G9" i="4"/>
  <c r="G5" i="4"/>
  <c r="G35" i="4"/>
  <c r="G27" i="4"/>
  <c r="G19" i="4"/>
  <c r="G11" i="4"/>
  <c r="G36" i="4"/>
  <c r="G32" i="4"/>
  <c r="G28" i="4"/>
  <c r="G24" i="4"/>
  <c r="G20" i="4"/>
  <c r="G16" i="4"/>
  <c r="G12" i="4"/>
  <c r="G8" i="4"/>
  <c r="G4" i="4"/>
  <c r="F35" i="4"/>
  <c r="F31" i="4"/>
  <c r="F27" i="4"/>
  <c r="F23" i="4"/>
  <c r="F19" i="4"/>
  <c r="F15" i="4"/>
  <c r="F11" i="4"/>
  <c r="F7" i="4"/>
  <c r="F3" i="4"/>
  <c r="F33" i="4"/>
  <c r="F29" i="4"/>
  <c r="F25" i="4"/>
  <c r="F21" i="4"/>
  <c r="F17" i="4"/>
  <c r="F13" i="4"/>
  <c r="F9" i="4"/>
  <c r="F5" i="4"/>
  <c r="F36" i="4"/>
  <c r="F32" i="4"/>
  <c r="F28" i="4"/>
  <c r="F24" i="4"/>
  <c r="F20" i="4"/>
  <c r="F16" i="4"/>
  <c r="F12" i="4"/>
  <c r="F8" i="4"/>
  <c r="F4" i="4"/>
  <c r="F34" i="4"/>
  <c r="F30" i="4"/>
  <c r="F26" i="4"/>
  <c r="F22" i="4"/>
  <c r="F18" i="4"/>
  <c r="F14" i="4"/>
  <c r="F10" i="4"/>
  <c r="F6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<sst xmlns="http://schemas.openxmlformats.org/spreadsheetml/2006/main" count="72" uniqueCount="59">
  <si>
    <t>Año</t>
  </si>
  <si>
    <t>AÑO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</si>
  <si>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</si>
  <si>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</si>
  <si>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</si>
  <si>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</si>
  <si>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</si>
  <si>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</si>
  <si>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</si>
  <si>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</si>
  <si>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</si>
  <si>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</si>
  <si>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</si>
  <si>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</si>
  <si>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</si>
  <si>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</si>
  <si>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</si>
  <si>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</si>
  <si>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</si>
  <si>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</si>
  <si>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</si>
  <si>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</si>
  <si>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</si>
  <si>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</si>
  <si>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</si>
  <si>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</si>
  <si>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</si>
  <si>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</si>
  <si>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</si>
  <si>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</si>
  <si>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</si>
  <si>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</si>
  <si>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</si>
  <si>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</si>
  <si>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</si>
  <si>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</si>
  <si>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var_infor</t>
  </si>
  <si>
    <t>var_ipc</t>
  </si>
  <si>
    <t>var_pbi</t>
  </si>
  <si>
    <t>tasa_informalidad</t>
  </si>
  <si>
    <t>ipc</t>
  </si>
  <si>
    <t>pbi_constante</t>
  </si>
  <si>
    <t>ln_infor</t>
  </si>
  <si>
    <t>ln_ipc</t>
  </si>
  <si>
    <t>ln_pbi</t>
  </si>
  <si>
    <t>variable</t>
  </si>
  <si>
    <t>estacionariedad</t>
  </si>
  <si>
    <t>NO</t>
  </si>
  <si>
    <t>SI</t>
  </si>
  <si>
    <t>dif_log_infor</t>
  </si>
  <si>
    <t>dif_log_ipc</t>
  </si>
  <si>
    <t>dif_log_pbi</t>
  </si>
  <si>
    <t>ELASTICIDAD DE LA INFORMALDIAD RESPECTO AL PBI</t>
  </si>
  <si>
    <t>ano</t>
  </si>
  <si>
    <t>elast</t>
  </si>
  <si>
    <t>PROMEDIO</t>
  </si>
  <si>
    <t>LI</t>
  </si>
  <si>
    <t>LS</t>
  </si>
  <si>
    <t>PROM AJUST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</si>
</sst>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 * #,##0.00_ ;_ * \-#,##0.00_ ;_ * &quot;-&quot;??_ ;_ @_ "/>
    <numFmt numFmtId="165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 val="singleAccounting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43" fontId="3" fillId="0" borderId="0" xfId="1" applyFont="1" applyAlignment="1">
      <alignment horizontal="center"/>
    </xf>
    <xf numFmtId="43" fontId="0" fillId="0" borderId="0" xfId="1" applyFont="1"/>
    <xf numFmtId="0" fontId="2" fillId="0" borderId="0" xfId="0" quotePrefix="1" applyFont="1"/>
    <xf numFmtId="0" fontId="2" fillId="0" borderId="0" xfId="0" applyFont="1" applyAlignment="1">
      <alignment horizontal="center" vertical="center"/>
    </xf>
    <xf numFmtId="165" fontId="0" fillId="0" borderId="0" xfId="3" applyNumberFormat="1" applyFont="1"/>
    <xf numFmtId="43" fontId="0" fillId="0" borderId="0" xfId="0" applyNumberFormat="1" applyAlignment="1">
      <alignment horizontal="center" vertical="center"/>
    </xf>
    <xf numFmtId="43" fontId="5" fillId="0" borderId="0" xfId="1" applyFont="1"/>
    <xf numFmtId="0" fontId="6" fillId="0" borderId="0" xfId="0" applyFont="1"/>
    <xf numFmtId="0" fontId="3" fillId="0" borderId="0" xfId="0" applyFont="1" applyAlignment="1">
      <alignment horizontal="center" vertical="center"/>
    </xf>
    <xf numFmtId="9" fontId="0" fillId="0" borderId="0" xfId="3" applyFont="1" applyAlignment="1">
      <alignment horizontal="center"/>
    </xf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horizontal="center" vertical="center"/>
    </xf>
  </cellXfs>
  <cellStyles count="4">
    <cellStyle name="Millares" xfId="1" builtinId="3"/>
    <cellStyle name="Millares 2" xfId="2" xr:uid="{9CC5C31A-D822-4094-B460-F313FC0AEF91}"/>
    <cellStyle name="Normal" xfId="0" builtinId="0"/>
    <cellStyle name="Porcentaje" xfId="3" builtinId="5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126635415791527E-2"/>
          <c:y val="5.1383399209486168E-2"/>
          <c:w val="0.91152361785992042"/>
          <c:h val="0.82262799165914535"/>
        </c:manualLayout>
      </c:layout>
      <c:lineChart>
        <c:grouping val="standard"/>
        <c:varyColors val="0"/>
        <c:ser>
          <c:idx val="0"/>
          <c:order val="0"/>
          <c:tx>
            <c:strRef>
              <c:f>together!$E$1</c:f>
              <c:strCache>
                <c:ptCount val="1"/>
                <c:pt idx="0">
                  <c:v>var_infor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together!$A$2:$A$36</c:f>
              <c:numCache>
                <c:formatCode>General</c:formatCode>
                <c:ptCount val="35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</c:numCache>
            </c:numRef>
          </c:cat>
          <c:val>
            <c:numRef>
              <c:f>together!$E$2:$E$36</c:f>
              <c:numCache>
                <c:formatCode>0.0%</c:formatCode>
                <c:ptCount val="35"/>
                <c:pt idx="1">
                  <c:v>-3.5812672176308576E-2</c:v>
                </c:pt>
                <c:pt idx="2">
                  <c:v>2.2857142857142878E-2</c:v>
                </c:pt>
                <c:pt idx="3">
                  <c:v>-8.6592178770949643E-2</c:v>
                </c:pt>
                <c:pt idx="4">
                  <c:v>0.13761467889908252</c:v>
                </c:pt>
                <c:pt idx="5">
                  <c:v>6.1827956989247368E-2</c:v>
                </c:pt>
                <c:pt idx="6">
                  <c:v>3.0379746835442922E-2</c:v>
                </c:pt>
                <c:pt idx="7">
                  <c:v>2.7027027027027053E-2</c:v>
                </c:pt>
                <c:pt idx="8">
                  <c:v>7.1770334928229736E-3</c:v>
                </c:pt>
                <c:pt idx="9">
                  <c:v>7.1258907363420491E-3</c:v>
                </c:pt>
                <c:pt idx="10">
                  <c:v>4.7169811320754759E-3</c:v>
                </c:pt>
                <c:pt idx="11">
                  <c:v>0.14084507042253522</c:v>
                </c:pt>
                <c:pt idx="12">
                  <c:v>0.11111111111111122</c:v>
                </c:pt>
                <c:pt idx="13">
                  <c:v>-1.8518518518518535E-2</c:v>
                </c:pt>
                <c:pt idx="14">
                  <c:v>-1.8867924528301903E-2</c:v>
                </c:pt>
                <c:pt idx="15">
                  <c:v>-3.8461538461538491E-2</c:v>
                </c:pt>
                <c:pt idx="16">
                  <c:v>-6.0000000000000053E-2</c:v>
                </c:pt>
                <c:pt idx="17">
                  <c:v>-4.2553191489361625E-2</c:v>
                </c:pt>
                <c:pt idx="18">
                  <c:v>-2.222222222222224E-2</c:v>
                </c:pt>
                <c:pt idx="19">
                  <c:v>-2.2727272727272749E-2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-2.3255813953488393E-2</c:v>
                </c:pt>
                <c:pt idx="24">
                  <c:v>-2.3809523809523832E-2</c:v>
                </c:pt>
                <c:pt idx="25">
                  <c:v>2.4390243902439046E-2</c:v>
                </c:pt>
                <c:pt idx="26">
                  <c:v>2.3809523809523832E-2</c:v>
                </c:pt>
                <c:pt idx="27">
                  <c:v>2.3255813953488393E-2</c:v>
                </c:pt>
                <c:pt idx="28">
                  <c:v>2.2727272727272749E-2</c:v>
                </c:pt>
                <c:pt idx="29">
                  <c:v>-4.4444444444444481E-2</c:v>
                </c:pt>
                <c:pt idx="30">
                  <c:v>-0.23953488372093018</c:v>
                </c:pt>
                <c:pt idx="31">
                  <c:v>0.1192660550458715</c:v>
                </c:pt>
                <c:pt idx="32">
                  <c:v>0.13114754098360654</c:v>
                </c:pt>
                <c:pt idx="33">
                  <c:v>9.6618357487922787E-3</c:v>
                </c:pt>
                <c:pt idx="34">
                  <c:v>2.6315789473684233E-2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B5-406E-8F41-A9AEDB377577}"/>
            </c:ext>
          </c:extLst>
        </c:ser>
        <c:ser>
          <c:idx val="1"/>
          <c:order val="1"/>
          <c:tx>
            <c:strRef>
              <c:f>together!$F$1</c:f>
              <c:strCache>
                <c:ptCount val="1"/>
                <c:pt idx="0">
                  <c:v>var_ipc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together!$A$2:$A$36</c:f>
              <c:numCache>
                <c:formatCode>General</c:formatCode>
                <c:ptCount val="35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</c:numCache>
            </c:numRef>
          </c:cat>
          <c:val>
            <c:numRef>
              <c:f>together!$F$2:$F$36</c:f>
              <c:numCache>
                <c:formatCode>0.0%</c:formatCode>
                <c:ptCount val="35"/>
                <c:pt idx="1">
                  <c:v>0.1765167638834324</c:v>
                </c:pt>
                <c:pt idx="2">
                  <c:v>7.3258527443003985E-2</c:v>
                </c:pt>
                <c:pt idx="3">
                  <c:v>3.6561935586332472E-2</c:v>
                </c:pt>
                <c:pt idx="4">
                  <c:v>1.7030509588525033E-2</c:v>
                </c:pt>
                <c:pt idx="5">
                  <c:v>-5.5966971223120332E-5</c:v>
                </c:pt>
                <c:pt idx="6">
                  <c:v>3.9578285112296108E-3</c:v>
                </c:pt>
                <c:pt idx="7">
                  <c:v>5.9778641057535165E-3</c:v>
                </c:pt>
                <c:pt idx="8">
                  <c:v>-1.8895896992619732E-2</c:v>
                </c:pt>
                <c:pt idx="9">
                  <c:v>-8.0493492300667269E-3</c:v>
                </c:pt>
                <c:pt idx="10">
                  <c:v>-1.3981401562988771E-2</c:v>
                </c:pt>
                <c:pt idx="11">
                  <c:v>0.40936861882728537</c:v>
                </c:pt>
                <c:pt idx="12">
                  <c:v>3.545551964720528E-2</c:v>
                </c:pt>
                <c:pt idx="13">
                  <c:v>6.0580429386752011E-2</c:v>
                </c:pt>
                <c:pt idx="14">
                  <c:v>0.12229301193071063</c:v>
                </c:pt>
                <c:pt idx="15">
                  <c:v>0.10028782202456976</c:v>
                </c:pt>
                <c:pt idx="16">
                  <c:v>8.404146513989752E-2</c:v>
                </c:pt>
                <c:pt idx="17">
                  <c:v>7.1189463783291718E-2</c:v>
                </c:pt>
                <c:pt idx="18">
                  <c:v>7.3330691360959488E-2</c:v>
                </c:pt>
                <c:pt idx="19">
                  <c:v>0.14731012498740004</c:v>
                </c:pt>
                <c:pt idx="20">
                  <c:v>0.12673607240787343</c:v>
                </c:pt>
                <c:pt idx="21">
                  <c:v>0.13127695777768977</c:v>
                </c:pt>
                <c:pt idx="22">
                  <c:v>0.14761180194833545</c:v>
                </c:pt>
                <c:pt idx="23">
                  <c:v>0.2826858893274613</c:v>
                </c:pt>
                <c:pt idx="24">
                  <c:v>0.17188252762398126</c:v>
                </c:pt>
                <c:pt idx="25">
                  <c:v>0.34587418696734007</c:v>
                </c:pt>
                <c:pt idx="26">
                  <c:v>0.25039199999999995</c:v>
                </c:pt>
                <c:pt idx="27">
                  <c:v>0.47104348076443237</c:v>
                </c:pt>
                <c:pt idx="28">
                  <c:v>0.52865284571276971</c:v>
                </c:pt>
                <c:pt idx="29">
                  <c:v>0.34097038347662956</c:v>
                </c:pt>
                <c:pt idx="30">
                  <c:v>0.51438016160691391</c:v>
                </c:pt>
                <c:pt idx="31">
                  <c:v>0.95190824627962867</c:v>
                </c:pt>
                <c:pt idx="32">
                  <c:v>2.1014188058006922</c:v>
                </c:pt>
                <c:pt idx="33">
                  <c:v>1.221454569818702</c:v>
                </c:pt>
                <c:pt idx="34">
                  <c:v>0.31735483311822743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B5-406E-8F41-A9AEDB377577}"/>
            </c:ext>
          </c:extLst>
        </c:ser>
        <c:ser>
          <c:idx val="2"/>
          <c:order val="2"/>
          <c:tx>
            <c:strRef>
              <c:f>together!$G$1</c:f>
              <c:strCache>
                <c:ptCount val="1"/>
                <c:pt idx="0">
                  <c:v>var_pbi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together!$A$2:$A$36</c:f>
              <c:numCache>
                <c:formatCode>General</c:formatCode>
                <c:ptCount val="35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</c:numCache>
            </c:numRef>
          </c:cat>
          <c:val>
            <c:numRef>
              <c:f>together!$G$2:$G$36</c:f>
              <c:numCache>
                <c:formatCode>0.0%</c:formatCode>
                <c:ptCount val="35"/>
                <c:pt idx="1">
                  <c:v>7.93729155643077E-2</c:v>
                </c:pt>
                <c:pt idx="2">
                  <c:v>8.2069790722122837E-2</c:v>
                </c:pt>
                <c:pt idx="3">
                  <c:v>5.8362007036852681E-2</c:v>
                </c:pt>
                <c:pt idx="4">
                  <c:v>-2.8452096105707869E-2</c:v>
                </c:pt>
                <c:pt idx="5">
                  <c:v>5.5266898271523424E-2</c:v>
                </c:pt>
                <c:pt idx="6">
                  <c:v>8.1110467707457001E-2</c:v>
                </c:pt>
                <c:pt idx="7">
                  <c:v>3.8501788515622692E-2</c:v>
                </c:pt>
                <c:pt idx="8">
                  <c:v>-3.3854570406326889E-2</c:v>
                </c:pt>
                <c:pt idx="9">
                  <c:v>-7.8899893905690632E-3</c:v>
                </c:pt>
                <c:pt idx="10">
                  <c:v>-4.4088396825855636E-2</c:v>
                </c:pt>
                <c:pt idx="11">
                  <c:v>-0.10894484828590278</c:v>
                </c:pt>
                <c:pt idx="12">
                  <c:v>8.8370407957692354E-2</c:v>
                </c:pt>
                <c:pt idx="13">
                  <c:v>9.029573300681526E-2</c:v>
                </c:pt>
                <c:pt idx="14">
                  <c:v>8.8516599201343693E-2</c:v>
                </c:pt>
                <c:pt idx="15">
                  <c:v>8.0471515004302718E-2</c:v>
                </c:pt>
                <c:pt idx="16">
                  <c:v>9.0076508750475792E-2</c:v>
                </c:pt>
                <c:pt idx="17">
                  <c:v>4.0572331034640641E-2</c:v>
                </c:pt>
                <c:pt idx="18">
                  <c:v>-5.9185250763494679E-2</c:v>
                </c:pt>
                <c:pt idx="19">
                  <c:v>0.10125398156100229</c:v>
                </c:pt>
                <c:pt idx="20">
                  <c:v>6.0039516928057868E-2</c:v>
                </c:pt>
                <c:pt idx="21">
                  <c:v>-1.0264204544320976E-2</c:v>
                </c:pt>
                <c:pt idx="22">
                  <c:v>2.4053237807943662E-2</c:v>
                </c:pt>
                <c:pt idx="23">
                  <c:v>-2.5126153208139379E-2</c:v>
                </c:pt>
                <c:pt idx="24">
                  <c:v>2.7311598282894423E-2</c:v>
                </c:pt>
                <c:pt idx="25">
                  <c:v>-2.080327843778107E-2</c:v>
                </c:pt>
                <c:pt idx="26">
                  <c:v>2.8185029777591852E-2</c:v>
                </c:pt>
                <c:pt idx="27">
                  <c:v>-2.6173964628203761E-2</c:v>
                </c:pt>
                <c:pt idx="28">
                  <c:v>-2.0008610028578455E-2</c:v>
                </c:pt>
                <c:pt idx="29">
                  <c:v>-9.9004848136464041E-2</c:v>
                </c:pt>
                <c:pt idx="30">
                  <c:v>0.1044181198825056</c:v>
                </c:pt>
                <c:pt idx="31">
                  <c:v>6.0207453753485574E-2</c:v>
                </c:pt>
                <c:pt idx="32">
                  <c:v>-1.85578803046339E-2</c:v>
                </c:pt>
                <c:pt idx="33">
                  <c:v>-1.3429307215773845E-2</c:v>
                </c:pt>
                <c:pt idx="34">
                  <c:v>3.6999999999999922E-2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B5-406E-8F41-A9AEDB377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6593103"/>
        <c:axId val="1036591183"/>
      </c:lineChart>
      <c:catAx>
        <c:axId val="1036593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36591183"/>
        <c:crosses val="autoZero"/>
        <c:auto val="1"/>
        <c:lblAlgn val="ctr"/>
        <c:lblOffset val="100"/>
        <c:noMultiLvlLbl val="0"/>
      </c:catAx>
      <c:valAx>
        <c:axId val="103659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36593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together!$L$1</c:f>
              <c:strCache>
                <c:ptCount val="1"/>
                <c:pt idx="0">
                  <c:v>dif_log_ipc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together!$A$2:$A$36</c:f>
              <c:numCache>
                <c:formatCode>General</c:formatCode>
                <c:ptCount val="35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</c:numCache>
            </c:numRef>
          </c:cat>
          <c:val>
            <c:numRef>
              <c:f>together!$L$2:$L$36</c:f>
              <c:numCache>
                <c:formatCode>General</c:formatCode>
                <c:ptCount val="35"/>
                <c:pt idx="1">
                  <c:v>0.16255817802845884</c:v>
                </c:pt>
                <c:pt idx="2">
                  <c:v>7.0699373530524579E-2</c:v>
                </c:pt>
                <c:pt idx="3">
                  <c:v>3.5909405653889781E-2</c:v>
                </c:pt>
                <c:pt idx="4">
                  <c:v>1.6887116211847353E-2</c:v>
                </c:pt>
                <c:pt idx="5">
                  <c:v>-5.5968537432615761E-5</c:v>
                </c:pt>
                <c:pt idx="6">
                  <c:v>3.9500169124959683E-3</c:v>
                </c:pt>
                <c:pt idx="7">
                  <c:v>5.9600675644384538E-3</c:v>
                </c:pt>
                <c:pt idx="8">
                  <c:v>-1.9076705773447777E-2</c:v>
                </c:pt>
                <c:pt idx="9">
                  <c:v>-8.0819201424260356E-3</c:v>
                </c:pt>
                <c:pt idx="10">
                  <c:v>-1.4080062045214614E-2</c:v>
                </c:pt>
                <c:pt idx="11">
                  <c:v>0.34314181603730631</c:v>
                </c:pt>
                <c:pt idx="12">
                  <c:v>3.4841445496033518E-2</c:v>
                </c:pt>
                <c:pt idx="13">
                  <c:v>5.8816333152711842E-2</c:v>
                </c:pt>
                <c:pt idx="14">
                  <c:v>0.11537392445979533</c:v>
                </c:pt>
                <c:pt idx="15">
                  <c:v>9.5571801964235537E-2</c:v>
                </c:pt>
                <c:pt idx="16">
                  <c:v>8.069615425994181E-2</c:v>
                </c:pt>
                <c:pt idx="17">
                  <c:v>6.8769679445866316E-2</c:v>
                </c:pt>
                <c:pt idx="18">
                  <c:v>7.0766609420233273E-2</c:v>
                </c:pt>
                <c:pt idx="19">
                  <c:v>0.13742018084058705</c:v>
                </c:pt>
                <c:pt idx="20">
                  <c:v>0.1193250216583297</c:v>
                </c:pt>
                <c:pt idx="21">
                  <c:v>0.12334704582779255</c:v>
                </c:pt>
                <c:pt idx="22">
                  <c:v>0.13768308909827764</c:v>
                </c:pt>
                <c:pt idx="23">
                  <c:v>0.24895623050496285</c:v>
                </c:pt>
                <c:pt idx="24">
                  <c:v>0.1586114537284713</c:v>
                </c:pt>
                <c:pt idx="25">
                  <c:v>0.29704375506130987</c:v>
                </c:pt>
                <c:pt idx="26">
                  <c:v>0.22345710215200754</c:v>
                </c:pt>
                <c:pt idx="27">
                  <c:v>0.38597199982584574</c:v>
                </c:pt>
                <c:pt idx="28">
                  <c:v>0.42438685454450464</c:v>
                </c:pt>
                <c:pt idx="29">
                  <c:v>0.29339351865418628</c:v>
                </c:pt>
                <c:pt idx="30">
                  <c:v>0.41500622099021633</c:v>
                </c:pt>
                <c:pt idx="31">
                  <c:v>0.66880748190643402</c:v>
                </c:pt>
                <c:pt idx="32">
                  <c:v>1.1318596860784256</c:v>
                </c:pt>
                <c:pt idx="33">
                  <c:v>0.79816219295680924</c:v>
                </c:pt>
                <c:pt idx="34">
                  <c:v>0.27562581177124379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6E-45B7-9F09-AF0339B9C5F3}"/>
            </c:ext>
          </c:extLst>
        </c:ser>
        <c:ser>
          <c:idx val="1"/>
          <c:order val="1"/>
          <c:tx>
            <c:strRef>
              <c:f>together!$M$1</c:f>
              <c:strCache>
                <c:ptCount val="1"/>
                <c:pt idx="0">
                  <c:v>dif_log_pbi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together!$A$2:$A$36</c:f>
              <c:numCache>
                <c:formatCode>General</c:formatCode>
                <c:ptCount val="35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</c:numCache>
            </c:numRef>
          </c:cat>
          <c:val>
            <c:numRef>
              <c:f>together!$M$2:$M$36</c:f>
              <c:numCache>
                <c:formatCode>General</c:formatCode>
                <c:ptCount val="35"/>
                <c:pt idx="1">
                  <c:v>7.6380238766329711E-2</c:v>
                </c:pt>
                <c:pt idx="2">
                  <c:v>7.8875679935762832E-2</c:v>
                </c:pt>
                <c:pt idx="3">
                  <c:v>5.6722436572695045E-2</c:v>
                </c:pt>
                <c:pt idx="4">
                  <c:v>-2.8864702173617474E-2</c:v>
                </c:pt>
                <c:pt idx="5">
                  <c:v>5.3793719076562496E-2</c:v>
                </c:pt>
                <c:pt idx="6">
                  <c:v>7.7988723729667697E-2</c:v>
                </c:pt>
                <c:pt idx="7">
                  <c:v>3.7779086543064722E-2</c:v>
                </c:pt>
                <c:pt idx="8">
                  <c:v>-3.4440907867249848E-2</c:v>
                </c:pt>
                <c:pt idx="9">
                  <c:v>-7.9212800542052264E-3</c:v>
                </c:pt>
                <c:pt idx="10">
                  <c:v>-4.5089835504928288E-2</c:v>
                </c:pt>
                <c:pt idx="11">
                  <c:v>-0.11534895475794826</c:v>
                </c:pt>
                <c:pt idx="12">
                  <c:v>8.4681538984838767E-2</c:v>
                </c:pt>
                <c:pt idx="13">
                  <c:v>8.6448974127030453E-2</c:v>
                </c:pt>
                <c:pt idx="14">
                  <c:v>8.4815851186977653E-2</c:v>
                </c:pt>
                <c:pt idx="15">
                  <c:v>7.7397533826282228E-2</c:v>
                </c:pt>
                <c:pt idx="16">
                  <c:v>8.6247885291939497E-2</c:v>
                </c:pt>
                <c:pt idx="17">
                  <c:v>3.9770880086233973E-2</c:v>
                </c:pt>
                <c:pt idx="18">
                  <c:v>-6.1009024625942487E-2</c:v>
                </c:pt>
                <c:pt idx="19">
                  <c:v>9.6449513754116367E-2</c:v>
                </c:pt>
                <c:pt idx="20">
                  <c:v>5.8306187549895583E-2</c:v>
                </c:pt>
                <c:pt idx="21">
                  <c:v>-1.031724474760054E-2</c:v>
                </c:pt>
                <c:pt idx="22">
                  <c:v>2.3768515312699634E-2</c:v>
                </c:pt>
                <c:pt idx="23">
                  <c:v>-2.5447204261411116E-2</c:v>
                </c:pt>
                <c:pt idx="24">
                  <c:v>2.6945291240490832E-2</c:v>
                </c:pt>
                <c:pt idx="25">
                  <c:v>-2.1022715307477569E-2</c:v>
                </c:pt>
                <c:pt idx="26">
                  <c:v>2.7795140892727943E-2</c:v>
                </c:pt>
                <c:pt idx="27">
                  <c:v>-2.6522599739838171E-2</c:v>
                </c:pt>
                <c:pt idx="28">
                  <c:v>-2.0211493099562716E-2</c:v>
                </c:pt>
                <c:pt idx="29">
                  <c:v>-0.10425540222785656</c:v>
                </c:pt>
                <c:pt idx="30">
                  <c:v>9.9318607931756731E-2</c:v>
                </c:pt>
                <c:pt idx="31">
                  <c:v>5.8464600063253158E-2</c:v>
                </c:pt>
                <c:pt idx="32">
                  <c:v>-1.8732238277682001E-2</c:v>
                </c:pt>
                <c:pt idx="33">
                  <c:v>-1.3520295890049994E-2</c:v>
                </c:pt>
                <c:pt idx="34">
                  <c:v>3.6331929247388928E-2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6E-45B7-9F09-AF0339B9C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9992047"/>
        <c:axId val="1040003087"/>
      </c:lineChart>
      <c:catAx>
        <c:axId val="103999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40003087"/>
        <c:crosses val="autoZero"/>
        <c:auto val="1"/>
        <c:lblAlgn val="ctr"/>
        <c:lblOffset val="100"/>
        <c:noMultiLvlLbl val="0"/>
      </c:catAx>
      <c:valAx>
        <c:axId val="104000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39992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219074</xdr:colOff>
      <xdr:row>0</xdr:row>
      <xdr:rowOff>177800</xdr:rowOff>
    </xdr:from>
    <xdr:to>
      <xdr:col>21</xdr:col>
      <xdr:colOff>628650</xdr:colOff>
      <xdr:row>24</xdr:row>
      <xdr:rowOff>120650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FC226E8-9355-48B3-9A01-B83205639E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219075</xdr:colOff>
      <xdr:row>26</xdr:row>
      <xdr:rowOff>52387</xdr:rowOff>
    </xdr:from>
    <xdr:to>
      <xdr:col>22</xdr:col>
      <xdr:colOff>219075</xdr:colOff>
      <xdr:row>40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7046BF9-517C-6A16-DFA7-1FEF4B552F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10</xdr:row>
      <xdr:rowOff>0</xdr:rowOff>
    </xdr:from>
    <xdr:to>
      <xdr:col>6</xdr:col>
      <xdr:colOff>304800</xdr:colOff>
      <xdr:row>11</xdr:row>
      <xdr:rowOff>114300</xdr:rowOff>
    </xdr:to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741F6E66-FEBA-23FF-E5A4-55C8D04BA99D}"/>
            </a:ext>
          </a:extLst>
        </xdr:cNvPr>
        <xdr:cNvSpPr>
          <a:spLocks noChangeAspect="1" noChangeArrowheads="1"/>
        </xdr:cNvSpPr>
      </xdr:nvSpPr>
      <xdr:spPr bwMode="auto">
        <a:xfrm>
          <a:off x="504825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67CB4-EBE9-414D-AC89-4A901A2F09D2}">
  <sheetPr>
    <tabColor rgb="FF00B050"/>
  </sheetPr>
  <dimension ref="A1:B36"/>
  <sheetViews>
    <sheetView zoomScale="90" zoomScaleNormal="90" workbookViewId="0">
      <selection activeCell="B2" sqref="B2"/>
    </sheetView>
  </sheetViews>
  <sheetFormatPr baseColWidth="10" defaultRowHeight="15" x14ac:dyDescent="0.25"/>
  <cols>
    <col min="2" max="2" width="16.85546875" style="1" bestFit="1" customWidth="1"/>
  </cols>
  <sheetData>
    <row r="1" spans="1:2" x14ac:dyDescent="0.25">
      <c r="A1" s="1" t="s">
        <v>1</v>
      </c>
      <c r="B1" s="1" t="s">
        <v>39</v>
      </c>
    </row>
    <row r="2" spans="1:2" x14ac:dyDescent="0.25">
      <c r="A2" s="1">
        <v>1991</v>
      </c>
      <c r="B2" s="1">
        <v>0.36299999999999999</v>
      </c>
    </row>
    <row r="3" spans="1:2" x14ac:dyDescent="0.25">
      <c r="A3" s="1">
        <v>1992</v>
      </c>
      <c r="B3" s="1">
        <v>0.35</v>
      </c>
    </row>
    <row r="4" spans="1:2" x14ac:dyDescent="0.25">
      <c r="A4" s="1">
        <v>1993</v>
      </c>
      <c r="B4" s="1">
        <v>0.35799999999999998</v>
      </c>
    </row>
    <row r="5" spans="1:2" x14ac:dyDescent="0.25">
      <c r="A5" s="1">
        <v>1994</v>
      </c>
      <c r="B5" s="1">
        <v>0.32700000000000001</v>
      </c>
    </row>
    <row r="6" spans="1:2" x14ac:dyDescent="0.25">
      <c r="A6" s="1">
        <v>1995</v>
      </c>
      <c r="B6" s="1">
        <v>0.372</v>
      </c>
    </row>
    <row r="7" spans="1:2" x14ac:dyDescent="0.25">
      <c r="A7" s="1">
        <v>1996</v>
      </c>
      <c r="B7" s="1">
        <v>0.39500000000000002</v>
      </c>
    </row>
    <row r="8" spans="1:2" x14ac:dyDescent="0.25">
      <c r="A8" s="1">
        <v>1997</v>
      </c>
      <c r="B8" s="1">
        <v>0.40699999999999997</v>
      </c>
    </row>
    <row r="9" spans="1:2" x14ac:dyDescent="0.25">
      <c r="A9" s="1">
        <v>1998</v>
      </c>
      <c r="B9" s="1">
        <v>0.41799999999999998</v>
      </c>
    </row>
    <row r="10" spans="1:2" x14ac:dyDescent="0.25">
      <c r="A10" s="1">
        <v>1999</v>
      </c>
      <c r="B10" s="1">
        <v>0.42099999999999999</v>
      </c>
    </row>
    <row r="11" spans="1:2" x14ac:dyDescent="0.25">
      <c r="A11" s="1">
        <v>2000</v>
      </c>
      <c r="B11" s="1">
        <v>0.42399999999999999</v>
      </c>
    </row>
    <row r="12" spans="1:2" x14ac:dyDescent="0.25">
      <c r="A12" s="1">
        <v>2001</v>
      </c>
      <c r="B12" s="1">
        <v>0.42599999999999999</v>
      </c>
    </row>
    <row r="13" spans="1:2" x14ac:dyDescent="0.25">
      <c r="A13" s="1">
        <v>2002</v>
      </c>
      <c r="B13" s="1">
        <v>0.48599999999999999</v>
      </c>
    </row>
    <row r="14" spans="1:2" x14ac:dyDescent="0.25">
      <c r="A14" s="1">
        <v>2003</v>
      </c>
      <c r="B14" s="1">
        <v>0.54</v>
      </c>
    </row>
    <row r="15" spans="1:2" x14ac:dyDescent="0.25">
      <c r="A15" s="1">
        <v>2004</v>
      </c>
      <c r="B15" s="1">
        <v>0.53</v>
      </c>
    </row>
    <row r="16" spans="1:2" x14ac:dyDescent="0.25">
      <c r="A16" s="1">
        <v>2005</v>
      </c>
      <c r="B16" s="1">
        <v>0.52</v>
      </c>
    </row>
    <row r="17" spans="1:2" x14ac:dyDescent="0.25">
      <c r="A17" s="1">
        <v>2006</v>
      </c>
      <c r="B17" s="1">
        <v>0.5</v>
      </c>
    </row>
    <row r="18" spans="1:2" x14ac:dyDescent="0.25">
      <c r="A18" s="1">
        <v>2007</v>
      </c>
      <c r="B18" s="1">
        <v>0.47</v>
      </c>
    </row>
    <row r="19" spans="1:2" x14ac:dyDescent="0.25">
      <c r="A19" s="1">
        <v>2008</v>
      </c>
      <c r="B19" s="1">
        <v>0.45</v>
      </c>
    </row>
    <row r="20" spans="1:2" x14ac:dyDescent="0.25">
      <c r="A20" s="1">
        <v>2009</v>
      </c>
      <c r="B20" s="1">
        <v>0.44</v>
      </c>
    </row>
    <row r="21" spans="1:2" x14ac:dyDescent="0.25">
      <c r="A21" s="1">
        <v>2010</v>
      </c>
      <c r="B21" s="1">
        <v>0.43</v>
      </c>
    </row>
    <row r="22" spans="1:2" x14ac:dyDescent="0.25">
      <c r="A22" s="1">
        <v>2011</v>
      </c>
      <c r="B22" s="1">
        <v>0.43</v>
      </c>
    </row>
    <row r="23" spans="1:2" x14ac:dyDescent="0.25">
      <c r="A23" s="1">
        <v>2012</v>
      </c>
      <c r="B23" s="1">
        <v>0.43</v>
      </c>
    </row>
    <row r="24" spans="1:2" x14ac:dyDescent="0.25">
      <c r="A24" s="1">
        <v>2013</v>
      </c>
      <c r="B24" s="1">
        <v>0.43</v>
      </c>
    </row>
    <row r="25" spans="1:2" x14ac:dyDescent="0.25">
      <c r="A25" s="1">
        <v>2014</v>
      </c>
      <c r="B25" s="1">
        <v>0.42</v>
      </c>
    </row>
    <row r="26" spans="1:2" x14ac:dyDescent="0.25">
      <c r="A26" s="1">
        <v>2015</v>
      </c>
      <c r="B26" s="1">
        <v>0.41</v>
      </c>
    </row>
    <row r="27" spans="1:2" x14ac:dyDescent="0.25">
      <c r="A27" s="1">
        <v>2016</v>
      </c>
      <c r="B27" s="1">
        <v>0.42</v>
      </c>
    </row>
    <row r="28" spans="1:2" x14ac:dyDescent="0.25">
      <c r="A28" s="1">
        <v>2017</v>
      </c>
      <c r="B28" s="1">
        <v>0.43</v>
      </c>
    </row>
    <row r="29" spans="1:2" x14ac:dyDescent="0.25">
      <c r="A29" s="1">
        <v>2018</v>
      </c>
      <c r="B29" s="1">
        <v>0.44</v>
      </c>
    </row>
    <row r="30" spans="1:2" x14ac:dyDescent="0.25">
      <c r="A30" s="1">
        <v>2019</v>
      </c>
      <c r="B30" s="1">
        <v>0.45</v>
      </c>
    </row>
    <row r="31" spans="1:2" x14ac:dyDescent="0.25">
      <c r="A31" s="1">
        <v>2020</v>
      </c>
      <c r="B31" s="1">
        <v>0.43</v>
      </c>
    </row>
    <row r="32" spans="1:2" x14ac:dyDescent="0.25">
      <c r="A32" s="1">
        <v>2021</v>
      </c>
      <c r="B32" s="8">
        <v>0.32700000000000001</v>
      </c>
    </row>
    <row r="33" spans="1:2" x14ac:dyDescent="0.25">
      <c r="A33" s="1">
        <v>2022</v>
      </c>
      <c r="B33" s="8">
        <v>0.36599999999999999</v>
      </c>
    </row>
    <row r="34" spans="1:2" x14ac:dyDescent="0.25">
      <c r="A34" s="1">
        <v>2023</v>
      </c>
      <c r="B34" s="1">
        <v>0.41399999999999998</v>
      </c>
    </row>
    <row r="35" spans="1:2" x14ac:dyDescent="0.25">
      <c r="A35" s="1">
        <v>2024</v>
      </c>
      <c r="B35" s="1">
        <v>0.41799999999999998</v>
      </c>
    </row>
    <row r="36" spans="1:2" x14ac:dyDescent="0.25">
      <c r="A36" s="1">
        <v>2025</v>
      </c>
      <c r="B36" s="1">
        <v>0.42899999999999999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3DFE5-9971-4C9D-AFF3-1A9379A2B7DD}">
  <sheetPr>
    <tabColor rgb="FF00B0F0"/>
  </sheetPr>
  <dimension ref="A1:B37"/>
  <sheetViews>
    <sheetView workbookViewId="0">
      <selection activeCell="B2" sqref="B2"/>
    </sheetView>
  </sheetViews>
  <sheetFormatPr baseColWidth="10" defaultRowHeight="15" x14ac:dyDescent="0.25"/>
  <sheetData>
    <row r="1" spans="1:2" x14ac:dyDescent="0.25">
      <c r="A1" s="2" t="s">
        <v>0</v>
      </c>
      <c r="B1" s="1" t="s">
        <v>40</v>
      </c>
    </row>
    <row r="2" spans="1:2" x14ac:dyDescent="0.25">
      <c r="A2">
        <v>1991</v>
      </c>
      <c r="B2">
        <v>9.5843939321172869</v>
      </c>
    </row>
    <row r="3" spans="1:2" x14ac:dyDescent="0.25">
      <c r="A3">
        <v>1992</v>
      </c>
      <c r="B3">
        <v>11.276200132798637</v>
      </c>
    </row>
    <row r="4" spans="1:2" x14ac:dyDescent="0.25">
      <c r="A4">
        <v>1993</v>
      </c>
      <c r="B4">
        <v>12.102277949680072</v>
      </c>
    </row>
    <row r="5" spans="1:2" x14ac:dyDescent="0.25">
      <c r="A5">
        <v>1994</v>
      </c>
      <c r="B5">
        <v>12.544760656524167</v>
      </c>
    </row>
    <row r="6" spans="1:2" x14ac:dyDescent="0.25">
      <c r="A6">
        <v>1995</v>
      </c>
      <c r="B6">
        <v>12.758404323170852</v>
      </c>
    </row>
    <row r="7" spans="1:2" x14ac:dyDescent="0.25">
      <c r="A7">
        <v>1996</v>
      </c>
      <c r="B7">
        <v>12.757690273923245</v>
      </c>
    </row>
    <row r="8" spans="1:2" x14ac:dyDescent="0.25">
      <c r="A8">
        <v>1997</v>
      </c>
      <c r="B8">
        <v>12.808183024226816</v>
      </c>
    </row>
    <row r="9" spans="1:2" x14ac:dyDescent="0.25">
      <c r="A9">
        <v>1998</v>
      </c>
      <c r="B9">
        <v>12.884748601787262</v>
      </c>
    </row>
    <row r="10" spans="1:2" x14ac:dyDescent="0.25">
      <c r="A10">
        <v>1999</v>
      </c>
      <c r="B10">
        <v>12.641279719432088</v>
      </c>
    </row>
    <row r="11" spans="1:2" x14ac:dyDescent="0.25">
      <c r="A11">
        <v>2000</v>
      </c>
      <c r="B11">
        <v>12.53952564425542</v>
      </c>
    </row>
    <row r="12" spans="1:2" x14ac:dyDescent="0.25">
      <c r="A12">
        <v>2001</v>
      </c>
      <c r="B12">
        <v>12.364205500813689</v>
      </c>
    </row>
    <row r="13" spans="1:2" x14ac:dyDescent="0.25">
      <c r="A13">
        <v>2002</v>
      </c>
      <c r="B13">
        <v>17.425723229578512</v>
      </c>
    </row>
    <row r="14" spans="1:2" x14ac:dyDescent="0.25">
      <c r="A14">
        <v>2003</v>
      </c>
      <c r="B14">
        <v>18.043561301911595</v>
      </c>
    </row>
    <row r="15" spans="1:2" x14ac:dyDescent="0.25">
      <c r="A15">
        <v>2004</v>
      </c>
      <c r="B15">
        <v>19.136647993247582</v>
      </c>
    </row>
    <row r="16" spans="1:2" x14ac:dyDescent="0.25">
      <c r="A16">
        <v>2005</v>
      </c>
      <c r="B16">
        <v>21.476926314599616</v>
      </c>
    </row>
    <row r="17" spans="1:2" x14ac:dyDescent="0.25">
      <c r="A17">
        <v>2006</v>
      </c>
      <c r="B17">
        <v>23.630800478472981</v>
      </c>
    </row>
    <row r="18" spans="1:2" x14ac:dyDescent="0.25">
      <c r="A18">
        <v>2007</v>
      </c>
      <c r="B18">
        <v>25.616767573112444</v>
      </c>
    </row>
    <row r="19" spans="1:2" x14ac:dyDescent="0.25">
      <c r="A19">
        <v>2008</v>
      </c>
      <c r="B19">
        <v>27.440411520503535</v>
      </c>
    </row>
    <row r="20" spans="1:2" x14ac:dyDescent="0.25">
      <c r="A20">
        <v>2009</v>
      </c>
      <c r="B20">
        <v>29.452635868531296</v>
      </c>
    </row>
    <row r="21" spans="1:2" x14ac:dyDescent="0.25">
      <c r="A21">
        <v>2010</v>
      </c>
      <c r="B21">
        <v>33.79130733953302</v>
      </c>
    </row>
    <row r="22" spans="1:2" x14ac:dyDescent="0.25">
      <c r="A22">
        <v>2011</v>
      </c>
      <c r="B22">
        <v>38.073884913272785</v>
      </c>
    </row>
    <row r="23" spans="1:2" x14ac:dyDescent="0.25">
      <c r="A23">
        <v>2012</v>
      </c>
      <c r="B23">
        <v>43.072108695465118</v>
      </c>
    </row>
    <row r="24" spans="1:2" x14ac:dyDescent="0.25">
      <c r="A24">
        <v>2013</v>
      </c>
      <c r="B24">
        <v>49.430060273717295</v>
      </c>
    </row>
    <row r="25" spans="1:2" x14ac:dyDescent="0.25">
      <c r="A25">
        <v>2014</v>
      </c>
      <c r="B25">
        <v>63.403240821703079</v>
      </c>
    </row>
    <row r="26" spans="1:2" x14ac:dyDescent="0.25">
      <c r="A26">
        <v>2015</v>
      </c>
      <c r="B26">
        <v>74.301150113689388</v>
      </c>
    </row>
    <row r="27" spans="1:2" x14ac:dyDescent="0.25">
      <c r="A27">
        <v>2016</v>
      </c>
      <c r="B27">
        <v>100</v>
      </c>
    </row>
    <row r="28" spans="1:2" x14ac:dyDescent="0.25">
      <c r="A28">
        <v>2017</v>
      </c>
      <c r="B28">
        <v>125.03919999999999</v>
      </c>
    </row>
    <row r="29" spans="1:2" x14ac:dyDescent="0.25">
      <c r="A29">
        <v>2018</v>
      </c>
      <c r="B29">
        <v>183.93809999999999</v>
      </c>
    </row>
    <row r="30" spans="1:2" x14ac:dyDescent="0.25">
      <c r="A30">
        <v>2019</v>
      </c>
      <c r="B30">
        <v>281.17750000000001</v>
      </c>
    </row>
    <row r="31" spans="1:2" x14ac:dyDescent="0.25">
      <c r="A31">
        <v>2020</v>
      </c>
      <c r="B31">
        <v>377.05070000000001</v>
      </c>
    </row>
    <row r="32" spans="1:2" x14ac:dyDescent="0.25">
      <c r="A32">
        <v>2021</v>
      </c>
      <c r="B32">
        <v>570.99810000000002</v>
      </c>
    </row>
    <row r="33" spans="1:2" x14ac:dyDescent="0.25">
      <c r="A33">
        <v>2022</v>
      </c>
      <c r="B33">
        <v>1114.5359000000001</v>
      </c>
    </row>
    <row r="34" spans="1:2" x14ac:dyDescent="0.25">
      <c r="A34">
        <v>2023</v>
      </c>
      <c r="B34">
        <v>3456.6426000000001</v>
      </c>
    </row>
    <row r="35" spans="1:2" x14ac:dyDescent="0.25">
      <c r="A35">
        <v>2024</v>
      </c>
      <c r="B35">
        <v>7678.7745000000004</v>
      </c>
    </row>
    <row r="36" spans="1:2" x14ac:dyDescent="0.25">
      <c r="A36">
        <v>2025</v>
      </c>
      <c r="B36">
        <v>10115.670700000001</v>
      </c>
    </row>
    <row r="37" spans="1:2" x14ac:dyDescent="0.25">
      <c r="B3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847DC-4A75-4983-A282-057BCC0F5D7A}">
  <sheetPr>
    <tabColor rgb="FF00B0F0"/>
  </sheetPr>
  <dimension ref="A1:C36"/>
  <sheetViews>
    <sheetView workbookViewId="0">
      <selection activeCell="B2" sqref="B2"/>
    </sheetView>
  </sheetViews>
  <sheetFormatPr baseColWidth="10" defaultRowHeight="15" x14ac:dyDescent="0.25"/>
  <cols>
    <col min="2" max="2" width="20" style="6" bestFit="1" customWidth="1"/>
  </cols>
  <sheetData>
    <row r="1" spans="1:2" x14ac:dyDescent="0.25">
      <c r="A1" s="4" t="s">
        <v>1</v>
      </c>
      <c r="B1" s="5" t="s">
        <v>41</v>
      </c>
    </row>
    <row r="2" spans="1:2" ht="17.25" x14ac:dyDescent="0.4">
      <c r="A2" s="1" t="s">
        <v>2</v>
      </c>
      <c r="B2" s="11">
        <v>351912181900</v>
      </c>
    </row>
    <row r="3" spans="1:2" x14ac:dyDescent="0.25">
      <c r="A3" s="1" t="s">
        <v>3</v>
      </c>
      <c r="B3" s="6">
        <v>379844477800</v>
      </c>
    </row>
    <row r="4" spans="1:2" x14ac:dyDescent="0.25">
      <c r="A4" s="1" t="s">
        <v>4</v>
      </c>
      <c r="B4" s="6">
        <v>411018234600</v>
      </c>
    </row>
    <row r="5" spans="1:2" x14ac:dyDescent="0.25">
      <c r="A5" s="1" t="s">
        <v>5</v>
      </c>
      <c r="B5" s="6">
        <v>435006083700</v>
      </c>
    </row>
    <row r="6" spans="1:2" x14ac:dyDescent="0.25">
      <c r="A6" s="1" t="s">
        <v>6</v>
      </c>
      <c r="B6" s="6">
        <v>422629248800</v>
      </c>
    </row>
    <row r="7" spans="1:2" x14ac:dyDescent="0.25">
      <c r="A7" s="1" t="s">
        <v>7</v>
      </c>
      <c r="B7" s="6">
        <v>445986656500</v>
      </c>
    </row>
    <row r="8" spans="1:2" x14ac:dyDescent="0.25">
      <c r="A8" s="1" t="s">
        <v>8</v>
      </c>
      <c r="B8" s="6">
        <v>482160842800</v>
      </c>
    </row>
    <row r="9" spans="1:2" x14ac:dyDescent="0.25">
      <c r="A9" s="1" t="s">
        <v>9</v>
      </c>
      <c r="B9" s="6">
        <v>500724897600</v>
      </c>
    </row>
    <row r="10" spans="1:2" x14ac:dyDescent="0.25">
      <c r="A10" s="1" t="s">
        <v>10</v>
      </c>
      <c r="B10" s="6">
        <v>483773071300</v>
      </c>
    </row>
    <row r="11" spans="1:2" x14ac:dyDescent="0.25">
      <c r="A11" s="1" t="s">
        <v>11</v>
      </c>
      <c r="B11" s="6">
        <v>479956106900</v>
      </c>
    </row>
    <row r="12" spans="1:2" x14ac:dyDescent="0.25">
      <c r="A12" s="1" t="s">
        <v>12</v>
      </c>
      <c r="B12" s="6">
        <v>458795611600</v>
      </c>
    </row>
    <row r="13" spans="1:2" x14ac:dyDescent="0.25">
      <c r="A13" s="1" t="s">
        <v>13</v>
      </c>
      <c r="B13" s="6">
        <v>408812193300</v>
      </c>
    </row>
    <row r="14" spans="1:2" x14ac:dyDescent="0.25">
      <c r="A14" s="1" t="s">
        <v>14</v>
      </c>
      <c r="B14" s="6">
        <v>444939093600</v>
      </c>
    </row>
    <row r="15" spans="1:2" x14ac:dyDescent="0.25">
      <c r="A15" s="1" t="s">
        <v>15</v>
      </c>
      <c r="B15" s="6">
        <v>485115195200</v>
      </c>
    </row>
    <row r="16" spans="1:2" x14ac:dyDescent="0.25">
      <c r="A16" s="1" t="s">
        <v>16</v>
      </c>
      <c r="B16" s="6">
        <v>528055942500</v>
      </c>
    </row>
    <row r="17" spans="1:2" x14ac:dyDescent="0.25">
      <c r="A17" s="1" t="s">
        <v>17</v>
      </c>
      <c r="B17" s="6">
        <v>570549404200</v>
      </c>
    </row>
    <row r="18" spans="1:2" x14ac:dyDescent="0.25">
      <c r="A18" s="1" t="s">
        <v>18</v>
      </c>
      <c r="B18" s="6">
        <v>621942502600</v>
      </c>
    </row>
    <row r="19" spans="1:2" x14ac:dyDescent="0.25">
      <c r="A19" s="1" t="s">
        <v>19</v>
      </c>
      <c r="B19" s="6">
        <v>647176159700</v>
      </c>
    </row>
    <row r="20" spans="1:2" x14ac:dyDescent="0.25">
      <c r="A20" s="1" t="s">
        <v>20</v>
      </c>
      <c r="B20" s="6">
        <v>608872876400</v>
      </c>
    </row>
    <row r="21" spans="1:2" x14ac:dyDescent="0.25">
      <c r="A21" s="1" t="s">
        <v>21</v>
      </c>
      <c r="B21" s="6">
        <v>670523679400</v>
      </c>
    </row>
    <row r="22" spans="1:2" x14ac:dyDescent="0.25">
      <c r="A22" s="1" t="s">
        <v>22</v>
      </c>
      <c r="B22" s="6">
        <v>710781597200</v>
      </c>
    </row>
    <row r="23" spans="1:2" x14ac:dyDescent="0.25">
      <c r="A23" s="1" t="s">
        <v>23</v>
      </c>
      <c r="B23" s="6">
        <v>703485989500</v>
      </c>
    </row>
    <row r="24" spans="1:2" x14ac:dyDescent="0.25">
      <c r="A24" s="1" t="s">
        <v>24</v>
      </c>
      <c r="B24" s="6">
        <v>720407105300</v>
      </c>
    </row>
    <row r="25" spans="1:2" x14ac:dyDescent="0.25">
      <c r="A25" s="1" t="s">
        <v>25</v>
      </c>
      <c r="B25" s="6">
        <v>702306046000</v>
      </c>
    </row>
    <row r="26" spans="1:2" x14ac:dyDescent="0.25">
      <c r="A26" s="1" t="s">
        <v>26</v>
      </c>
      <c r="B26" s="6">
        <v>721487146600</v>
      </c>
    </row>
    <row r="27" spans="1:2" x14ac:dyDescent="0.25">
      <c r="A27" s="1" t="s">
        <v>27</v>
      </c>
      <c r="B27" s="6">
        <v>706477848600</v>
      </c>
    </row>
    <row r="28" spans="1:2" x14ac:dyDescent="0.25">
      <c r="A28" s="1" t="s">
        <v>28</v>
      </c>
      <c r="B28" s="6">
        <v>726389947800</v>
      </c>
    </row>
    <row r="29" spans="1:2" x14ac:dyDescent="0.25">
      <c r="A29" s="1" t="s">
        <v>29</v>
      </c>
      <c r="B29" s="6">
        <v>707377443000</v>
      </c>
    </row>
    <row r="30" spans="1:2" x14ac:dyDescent="0.25">
      <c r="A30" s="1" t="s">
        <v>30</v>
      </c>
      <c r="B30" s="6">
        <v>693223803600</v>
      </c>
    </row>
    <row r="31" spans="1:2" x14ac:dyDescent="0.25">
      <c r="A31" s="1" t="s">
        <v>31</v>
      </c>
      <c r="B31" s="6">
        <v>624591286200</v>
      </c>
    </row>
    <row r="32" spans="1:2" x14ac:dyDescent="0.25">
      <c r="A32" s="1" t="s">
        <v>32</v>
      </c>
      <c r="B32" s="6">
        <v>689809934000</v>
      </c>
    </row>
    <row r="33" spans="1:3" x14ac:dyDescent="0.25">
      <c r="A33" s="1" t="s">
        <v>33</v>
      </c>
      <c r="B33" s="6">
        <v>731341633700</v>
      </c>
    </row>
    <row r="34" spans="1:3" x14ac:dyDescent="0.25">
      <c r="A34" s="1" t="s">
        <v>34</v>
      </c>
      <c r="B34" s="6">
        <v>717769483200</v>
      </c>
    </row>
    <row r="35" spans="1:3" x14ac:dyDescent="0.25">
      <c r="A35" s="1" t="s">
        <v>35</v>
      </c>
      <c r="B35" s="6">
        <v>708130336300</v>
      </c>
    </row>
    <row r="36" spans="1:3" x14ac:dyDescent="0.25">
      <c r="A36" s="1">
        <v>2025</v>
      </c>
      <c r="B36" s="6">
        <v>734331158743.09998</v>
      </c>
      <c r="C36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9C5D2-67E5-49D5-9838-95FB7E7A838B}">
  <dimension ref="A1:M36"/>
  <sheetViews>
    <sheetView tabSelected="1" topLeftCell="A8" workbookViewId="0">
      <selection activeCell="Q46" sqref="Q46"/>
    </sheetView>
  </sheetViews>
  <sheetFormatPr baseColWidth="10" defaultRowHeight="15" x14ac:dyDescent="0.25"/>
  <cols>
    <col min="2" max="2" width="15.85546875" bestFit="1" customWidth="1"/>
    <col min="3" max="3" width="9.42578125" customWidth="1"/>
    <col min="4" max="4" width="19.85546875" bestFit="1" customWidth="1"/>
  </cols>
  <sheetData>
    <row r="1" spans="1:13" x14ac:dyDescent="0.25">
      <c r="A1" s="1" t="str" cm="1">
        <f t="array" ref="A1:B36">+informalidad!A1:B36</f>
        <v>AÑO</v>
      </c>
      <c r="B1" s="1" t="str">
        <v>tasa_informalidad</v>
      </c>
      <c r="C1" s="1" t="str" cm="1">
        <f t="array" ref="C1:C36">+ipc!B1:B36</f>
        <v>ipc</v>
      </c>
      <c r="D1" s="10" t="str" cm="1">
        <f t="array" ref="D1:D36">+pbi!B1:B36</f>
        <v>pbi_constante</v>
      </c>
      <c r="E1" s="1" t="s">
        <v>36</v>
      </c>
      <c r="F1" s="1" t="s">
        <v>37</v>
      </c>
      <c r="G1" s="1" t="s">
        <v>38</v>
      </c>
      <c r="H1" s="1" t="s">
        <v>42</v>
      </c>
      <c r="I1" s="1" t="s">
        <v>43</v>
      </c>
      <c r="J1" s="1" t="s">
        <v>44</v>
      </c>
      <c r="K1" s="1" t="s">
        <v>49</v>
      </c>
      <c r="L1" s="1" t="s">
        <v>50</v>
      </c>
      <c r="M1" s="1" t="s">
        <v>51</v>
      </c>
    </row>
    <row r="2" spans="1:13" x14ac:dyDescent="0.25">
      <c r="A2">
        <v>1991</v>
      </c>
      <c r="B2">
        <v>0.36299999999999999</v>
      </c>
      <c r="C2">
        <v>9.5843939321172869</v>
      </c>
      <c r="D2" s="6">
        <v>351912181900</v>
      </c>
      <c r="H2">
        <f>+LN(B2)</f>
        <v>-1.0133524447172864</v>
      </c>
      <c r="I2">
        <f>+LN(C2)</f>
        <v>2.260136143629103</v>
      </c>
      <c r="J2">
        <f t="shared" ref="J2" si="0">+LN(D2)</f>
        <v>26.586647498179751</v>
      </c>
      <c r="M2" s="12"/>
    </row>
    <row r="3" spans="1:13" x14ac:dyDescent="0.25">
      <c r="A3">
        <v>1992</v>
      </c>
      <c r="B3">
        <v>0.35</v>
      </c>
      <c r="C3">
        <v>11.276200132798637</v>
      </c>
      <c r="D3" s="6">
        <v>379844477800</v>
      </c>
      <c r="E3" s="9">
        <f>(B3-B2)/B2</f>
        <v>-3.5812672176308576E-2</v>
      </c>
      <c r="F3" s="9">
        <f>+C3/C2-1</f>
        <v>0.1765167638834324</v>
      </c>
      <c r="G3" s="9">
        <f>+D3/D2-1</f>
        <v>7.93729155643077E-2</v>
      </c>
      <c r="H3">
        <f t="shared" ref="H3:H36" si="1">+LN(B3)</f>
        <v>-1.0498221244986778</v>
      </c>
      <c r="I3">
        <f t="shared" ref="I3:I36" si="2">+LN(C3)</f>
        <v>2.4226943216575618</v>
      </c>
      <c r="J3">
        <f t="shared" ref="J3:J36" si="3">+LN(D3)</f>
        <v>26.663027736946081</v>
      </c>
      <c r="K3">
        <f>+H3-H2</f>
        <v>-3.6469679781391484E-2</v>
      </c>
      <c r="L3">
        <f>+I3-I2</f>
        <v>0.16255817802845884</v>
      </c>
      <c r="M3" s="12">
        <f>+J3-J2</f>
        <v>7.6380238766329711E-2</v>
      </c>
    </row>
    <row r="4" spans="1:13" x14ac:dyDescent="0.25">
      <c r="A4">
        <v>1993</v>
      </c>
      <c r="B4">
        <v>0.35799999999999998</v>
      </c>
      <c r="C4">
        <v>12.102277949680072</v>
      </c>
      <c r="D4" s="6">
        <v>411018234600</v>
      </c>
      <c r="E4" s="9">
        <f t="shared" ref="E4:E36" si="4">(B4-B3)/B3</f>
        <v>2.2857142857142878E-2</v>
      </c>
      <c r="F4" s="9">
        <f t="shared" ref="F4:F36" si="5">+C4/C3-1</f>
        <v>7.3258527443003985E-2</v>
      </c>
      <c r="G4" s="9">
        <f t="shared" ref="G4:G36" si="6">+D4/D3-1</f>
        <v>8.2069790722122837E-2</v>
      </c>
      <c r="H4">
        <f t="shared" si="1"/>
        <v>-1.0272222925814367</v>
      </c>
      <c r="I4">
        <f t="shared" si="2"/>
        <v>2.4933936951880864</v>
      </c>
      <c r="J4">
        <f t="shared" si="3"/>
        <v>26.741903416881843</v>
      </c>
      <c r="K4">
        <f t="shared" ref="K4:K36" si="7">+H4-H3</f>
        <v>2.2599831917241131E-2</v>
      </c>
      <c r="L4">
        <f t="shared" ref="L4:L36" si="8">+I4-I3</f>
        <v>7.0699373530524579E-2</v>
      </c>
      <c r="M4">
        <f t="shared" ref="M4:M36" si="9">+J4-J3</f>
        <v>7.8875679935762832E-2</v>
      </c>
    </row>
    <row r="5" spans="1:13" x14ac:dyDescent="0.25">
      <c r="A5">
        <v>1994</v>
      </c>
      <c r="B5">
        <v>0.32700000000000001</v>
      </c>
      <c r="C5">
        <v>12.544760656524167</v>
      </c>
      <c r="D5" s="6">
        <v>435006083700</v>
      </c>
      <c r="E5" s="9">
        <f t="shared" si="4"/>
        <v>-8.6592178770949643E-2</v>
      </c>
      <c r="F5" s="9">
        <f t="shared" si="5"/>
        <v>3.6561935586332472E-2</v>
      </c>
      <c r="G5" s="9">
        <f t="shared" si="6"/>
        <v>5.8362007036852681E-2</v>
      </c>
      <c r="H5">
        <f t="shared" si="1"/>
        <v>-1.1177951080848836</v>
      </c>
      <c r="I5">
        <f t="shared" si="2"/>
        <v>2.5293031008419762</v>
      </c>
      <c r="J5">
        <f t="shared" si="3"/>
        <v>26.798625853454539</v>
      </c>
      <c r="K5">
        <f t="shared" si="7"/>
        <v>-9.0572815503446868E-2</v>
      </c>
      <c r="L5">
        <f t="shared" si="8"/>
        <v>3.5909405653889781E-2</v>
      </c>
      <c r="M5">
        <f t="shared" si="9"/>
        <v>5.6722436572695045E-2</v>
      </c>
    </row>
    <row r="6" spans="1:13" x14ac:dyDescent="0.25">
      <c r="A6">
        <v>1995</v>
      </c>
      <c r="B6">
        <v>0.372</v>
      </c>
      <c r="C6">
        <v>12.758404323170852</v>
      </c>
      <c r="D6" s="6">
        <v>422629248800</v>
      </c>
      <c r="E6" s="9">
        <f t="shared" si="4"/>
        <v>0.13761467889908252</v>
      </c>
      <c r="F6" s="9">
        <f t="shared" si="5"/>
        <v>1.7030509588525033E-2</v>
      </c>
      <c r="G6" s="9">
        <f t="shared" si="6"/>
        <v>-2.8452096105707869E-2</v>
      </c>
      <c r="H6">
        <f t="shared" si="1"/>
        <v>-0.98886142470899052</v>
      </c>
      <c r="I6">
        <f t="shared" si="2"/>
        <v>2.5461902170538235</v>
      </c>
      <c r="J6">
        <f t="shared" si="3"/>
        <v>26.769761151280921</v>
      </c>
      <c r="K6">
        <f t="shared" si="7"/>
        <v>0.12893368337589306</v>
      </c>
      <c r="L6">
        <f t="shared" si="8"/>
        <v>1.6887116211847353E-2</v>
      </c>
      <c r="M6">
        <f t="shared" si="9"/>
        <v>-2.8864702173617474E-2</v>
      </c>
    </row>
    <row r="7" spans="1:13" x14ac:dyDescent="0.25">
      <c r="A7">
        <v>1996</v>
      </c>
      <c r="B7">
        <v>0.39500000000000002</v>
      </c>
      <c r="C7">
        <v>12.757690273923245</v>
      </c>
      <c r="D7" s="6">
        <v>445986656500</v>
      </c>
      <c r="E7" s="9">
        <f t="shared" si="4"/>
        <v>6.1827956989247368E-2</v>
      </c>
      <c r="F7" s="9">
        <f t="shared" si="5"/>
        <v>-5.5966971223120332E-5</v>
      </c>
      <c r="G7" s="9">
        <f t="shared" si="6"/>
        <v>5.5266898271523424E-2</v>
      </c>
      <c r="H7">
        <f t="shared" si="1"/>
        <v>-0.92886951408101515</v>
      </c>
      <c r="I7">
        <f t="shared" si="2"/>
        <v>2.5461342485163909</v>
      </c>
      <c r="J7">
        <f t="shared" si="3"/>
        <v>26.823554870357484</v>
      </c>
      <c r="K7">
        <f t="shared" si="7"/>
        <v>5.9991910627975376E-2</v>
      </c>
      <c r="L7">
        <f t="shared" si="8"/>
        <v>-5.5968537432615761E-5</v>
      </c>
      <c r="M7">
        <f t="shared" si="9"/>
        <v>5.3793719076562496E-2</v>
      </c>
    </row>
    <row r="8" spans="1:13" x14ac:dyDescent="0.25">
      <c r="A8">
        <v>1997</v>
      </c>
      <c r="B8">
        <v>0.40699999999999997</v>
      </c>
      <c r="C8">
        <v>12.808183024226816</v>
      </c>
      <c r="D8" s="6">
        <v>482160842800</v>
      </c>
      <c r="E8" s="9">
        <f t="shared" si="4"/>
        <v>3.0379746835442922E-2</v>
      </c>
      <c r="F8" s="9">
        <f t="shared" si="5"/>
        <v>3.9578285112296108E-3</v>
      </c>
      <c r="G8" s="9">
        <f t="shared" si="6"/>
        <v>8.1110467707457001E-2</v>
      </c>
      <c r="H8">
        <f t="shared" si="1"/>
        <v>-0.89894209353954213</v>
      </c>
      <c r="I8">
        <f t="shared" si="2"/>
        <v>2.5500842654288869</v>
      </c>
      <c r="J8">
        <f t="shared" si="3"/>
        <v>26.901543594087151</v>
      </c>
      <c r="K8">
        <f t="shared" si="7"/>
        <v>2.9927420541473015E-2</v>
      </c>
      <c r="L8">
        <f t="shared" si="8"/>
        <v>3.9500169124959683E-3</v>
      </c>
      <c r="M8">
        <f t="shared" si="9"/>
        <v>7.7988723729667697E-2</v>
      </c>
    </row>
    <row r="9" spans="1:13" x14ac:dyDescent="0.25">
      <c r="A9">
        <v>1998</v>
      </c>
      <c r="B9">
        <v>0.41799999999999998</v>
      </c>
      <c r="C9">
        <v>12.884748601787262</v>
      </c>
      <c r="D9" s="6">
        <v>500724897600</v>
      </c>
      <c r="E9" s="9">
        <f t="shared" si="4"/>
        <v>2.7027027027027053E-2</v>
      </c>
      <c r="F9" s="9">
        <f t="shared" si="5"/>
        <v>5.9778641057535165E-3</v>
      </c>
      <c r="G9" s="9">
        <f t="shared" si="6"/>
        <v>3.8501788515622692E-2</v>
      </c>
      <c r="H9">
        <f t="shared" si="1"/>
        <v>-0.87227384645738082</v>
      </c>
      <c r="I9">
        <f t="shared" si="2"/>
        <v>2.5560443329933253</v>
      </c>
      <c r="J9">
        <f t="shared" si="3"/>
        <v>26.939322680630216</v>
      </c>
      <c r="K9">
        <f t="shared" si="7"/>
        <v>2.6668247082161312E-2</v>
      </c>
      <c r="L9">
        <f t="shared" si="8"/>
        <v>5.9600675644384538E-3</v>
      </c>
      <c r="M9">
        <f t="shared" si="9"/>
        <v>3.7779086543064722E-2</v>
      </c>
    </row>
    <row r="10" spans="1:13" x14ac:dyDescent="0.25">
      <c r="A10">
        <v>1999</v>
      </c>
      <c r="B10">
        <v>0.42099999999999999</v>
      </c>
      <c r="C10">
        <v>12.641279719432088</v>
      </c>
      <c r="D10" s="6">
        <v>483773071300</v>
      </c>
      <c r="E10" s="9">
        <f t="shared" si="4"/>
        <v>7.1770334928229736E-3</v>
      </c>
      <c r="F10" s="9">
        <f t="shared" si="5"/>
        <v>-1.8895896992619732E-2</v>
      </c>
      <c r="G10" s="9">
        <f t="shared" si="6"/>
        <v>-3.3854570406326889E-2</v>
      </c>
      <c r="H10">
        <f t="shared" si="1"/>
        <v>-0.86512244529975568</v>
      </c>
      <c r="I10">
        <f t="shared" si="2"/>
        <v>2.5369676272198776</v>
      </c>
      <c r="J10">
        <f t="shared" si="3"/>
        <v>26.904881772762966</v>
      </c>
      <c r="K10">
        <f t="shared" si="7"/>
        <v>7.1514011576251368E-3</v>
      </c>
      <c r="L10">
        <f t="shared" si="8"/>
        <v>-1.9076705773447777E-2</v>
      </c>
      <c r="M10">
        <f t="shared" si="9"/>
        <v>-3.4440907867249848E-2</v>
      </c>
    </row>
    <row r="11" spans="1:13" x14ac:dyDescent="0.25">
      <c r="A11">
        <v>2000</v>
      </c>
      <c r="B11">
        <v>0.42399999999999999</v>
      </c>
      <c r="C11">
        <v>12.53952564425542</v>
      </c>
      <c r="D11" s="6">
        <v>479956106900</v>
      </c>
      <c r="E11" s="9">
        <f t="shared" si="4"/>
        <v>7.1258907363420491E-3</v>
      </c>
      <c r="F11" s="9">
        <f t="shared" si="5"/>
        <v>-8.0493492300667269E-3</v>
      </c>
      <c r="G11" s="9">
        <f t="shared" si="6"/>
        <v>-7.8899893905690632E-3</v>
      </c>
      <c r="H11">
        <f t="shared" si="1"/>
        <v>-0.85802182375017932</v>
      </c>
      <c r="I11">
        <f t="shared" si="2"/>
        <v>2.5288857070774515</v>
      </c>
      <c r="J11">
        <f t="shared" si="3"/>
        <v>26.896960492708761</v>
      </c>
      <c r="K11">
        <f t="shared" si="7"/>
        <v>7.100621549576358E-3</v>
      </c>
      <c r="L11">
        <f t="shared" si="8"/>
        <v>-8.0819201424260356E-3</v>
      </c>
      <c r="M11">
        <f t="shared" si="9"/>
        <v>-7.9212800542052264E-3</v>
      </c>
    </row>
    <row r="12" spans="1:13" x14ac:dyDescent="0.25">
      <c r="A12">
        <v>2001</v>
      </c>
      <c r="B12">
        <v>0.42599999999999999</v>
      </c>
      <c r="C12">
        <v>12.364205500813689</v>
      </c>
      <c r="D12" s="6">
        <v>458795611600</v>
      </c>
      <c r="E12" s="9">
        <f t="shared" si="4"/>
        <v>4.7169811320754759E-3</v>
      </c>
      <c r="F12" s="9">
        <f t="shared" si="5"/>
        <v>-1.3981401562988771E-2</v>
      </c>
      <c r="G12" s="9">
        <f t="shared" si="6"/>
        <v>-4.4088396825855636E-2</v>
      </c>
      <c r="H12">
        <f t="shared" si="1"/>
        <v>-0.85331593271276662</v>
      </c>
      <c r="I12">
        <f t="shared" si="2"/>
        <v>2.5148056450322369</v>
      </c>
      <c r="J12">
        <f t="shared" si="3"/>
        <v>26.851870657203833</v>
      </c>
      <c r="K12">
        <f t="shared" si="7"/>
        <v>4.7058910374127016E-3</v>
      </c>
      <c r="L12">
        <f t="shared" si="8"/>
        <v>-1.4080062045214614E-2</v>
      </c>
      <c r="M12">
        <f t="shared" si="9"/>
        <v>-4.5089835504928288E-2</v>
      </c>
    </row>
    <row r="13" spans="1:13" x14ac:dyDescent="0.25">
      <c r="A13">
        <v>2002</v>
      </c>
      <c r="B13">
        <v>0.48599999999999999</v>
      </c>
      <c r="C13">
        <v>17.425723229578512</v>
      </c>
      <c r="D13" s="6">
        <v>408812193300</v>
      </c>
      <c r="E13" s="9">
        <f t="shared" si="4"/>
        <v>0.14084507042253522</v>
      </c>
      <c r="F13" s="9">
        <f t="shared" si="5"/>
        <v>0.40936861882728537</v>
      </c>
      <c r="G13" s="9">
        <f t="shared" si="6"/>
        <v>-0.10894484828590278</v>
      </c>
      <c r="H13">
        <f t="shared" si="1"/>
        <v>-0.72154665508164328</v>
      </c>
      <c r="I13">
        <f t="shared" si="2"/>
        <v>2.8579474610695432</v>
      </c>
      <c r="J13">
        <f t="shared" si="3"/>
        <v>26.736521702445884</v>
      </c>
      <c r="K13">
        <f t="shared" si="7"/>
        <v>0.13176927763112334</v>
      </c>
      <c r="L13">
        <f t="shared" si="8"/>
        <v>0.34314181603730631</v>
      </c>
      <c r="M13">
        <f t="shared" si="9"/>
        <v>-0.11534895475794826</v>
      </c>
    </row>
    <row r="14" spans="1:13" x14ac:dyDescent="0.25">
      <c r="A14">
        <v>2003</v>
      </c>
      <c r="B14">
        <v>0.54</v>
      </c>
      <c r="C14">
        <v>18.043561301911595</v>
      </c>
      <c r="D14" s="6">
        <v>444939093600</v>
      </c>
      <c r="E14" s="9">
        <f t="shared" si="4"/>
        <v>0.11111111111111122</v>
      </c>
      <c r="F14" s="9">
        <f t="shared" si="5"/>
        <v>3.545551964720528E-2</v>
      </c>
      <c r="G14" s="9">
        <f t="shared" si="6"/>
        <v>8.8370407957692354E-2</v>
      </c>
      <c r="H14">
        <f t="shared" si="1"/>
        <v>-0.61618613942381695</v>
      </c>
      <c r="I14">
        <f t="shared" si="2"/>
        <v>2.8927889065655767</v>
      </c>
      <c r="J14">
        <f t="shared" si="3"/>
        <v>26.821203241430723</v>
      </c>
      <c r="K14">
        <f t="shared" si="7"/>
        <v>0.10536051565782634</v>
      </c>
      <c r="L14">
        <f t="shared" si="8"/>
        <v>3.4841445496033518E-2</v>
      </c>
      <c r="M14">
        <f t="shared" si="9"/>
        <v>8.4681538984838767E-2</v>
      </c>
    </row>
    <row r="15" spans="1:13" x14ac:dyDescent="0.25">
      <c r="A15">
        <v>2004</v>
      </c>
      <c r="B15">
        <v>0.53</v>
      </c>
      <c r="C15">
        <v>19.136647993247582</v>
      </c>
      <c r="D15" s="6">
        <v>485115195200</v>
      </c>
      <c r="E15" s="9">
        <f t="shared" si="4"/>
        <v>-1.8518518518518535E-2</v>
      </c>
      <c r="F15" s="9">
        <f t="shared" si="5"/>
        <v>6.0580429386752011E-2</v>
      </c>
      <c r="G15" s="9">
        <f t="shared" si="6"/>
        <v>9.029573300681526E-2</v>
      </c>
      <c r="H15">
        <f t="shared" si="1"/>
        <v>-0.6348782724359695</v>
      </c>
      <c r="I15">
        <f t="shared" si="2"/>
        <v>2.9516052397182886</v>
      </c>
      <c r="J15">
        <f t="shared" si="3"/>
        <v>26.907652215557754</v>
      </c>
      <c r="K15">
        <f t="shared" si="7"/>
        <v>-1.8692133012152556E-2</v>
      </c>
      <c r="L15">
        <f t="shared" si="8"/>
        <v>5.8816333152711842E-2</v>
      </c>
      <c r="M15">
        <f t="shared" si="9"/>
        <v>8.6448974127030453E-2</v>
      </c>
    </row>
    <row r="16" spans="1:13" x14ac:dyDescent="0.25">
      <c r="A16">
        <v>2005</v>
      </c>
      <c r="B16">
        <v>0.52</v>
      </c>
      <c r="C16">
        <v>21.476926314599616</v>
      </c>
      <c r="D16" s="6">
        <v>528055942500</v>
      </c>
      <c r="E16" s="9">
        <f t="shared" si="4"/>
        <v>-1.8867924528301903E-2</v>
      </c>
      <c r="F16" s="9">
        <f t="shared" si="5"/>
        <v>0.12229301193071063</v>
      </c>
      <c r="G16" s="9">
        <f t="shared" si="6"/>
        <v>8.8516599201343693E-2</v>
      </c>
      <c r="H16">
        <f t="shared" si="1"/>
        <v>-0.65392646740666394</v>
      </c>
      <c r="I16">
        <f t="shared" si="2"/>
        <v>3.0669791641780839</v>
      </c>
      <c r="J16">
        <f t="shared" si="3"/>
        <v>26.992468066744731</v>
      </c>
      <c r="K16">
        <f t="shared" si="7"/>
        <v>-1.9048194970694432E-2</v>
      </c>
      <c r="L16">
        <f t="shared" si="8"/>
        <v>0.11537392445979533</v>
      </c>
      <c r="M16">
        <f t="shared" si="9"/>
        <v>8.4815851186977653E-2</v>
      </c>
    </row>
    <row r="17" spans="1:13" x14ac:dyDescent="0.25">
      <c r="A17">
        <v>2006</v>
      </c>
      <c r="B17">
        <v>0.5</v>
      </c>
      <c r="C17">
        <v>23.630800478472981</v>
      </c>
      <c r="D17" s="6">
        <v>570549404200</v>
      </c>
      <c r="E17" s="9">
        <f t="shared" si="4"/>
        <v>-3.8461538461538491E-2</v>
      </c>
      <c r="F17" s="9">
        <f t="shared" si="5"/>
        <v>0.10028782202456976</v>
      </c>
      <c r="G17" s="9">
        <f t="shared" si="6"/>
        <v>8.0471515004302718E-2</v>
      </c>
      <c r="H17">
        <f t="shared" si="1"/>
        <v>-0.69314718055994529</v>
      </c>
      <c r="I17">
        <f t="shared" si="2"/>
        <v>3.1625509661423195</v>
      </c>
      <c r="J17">
        <f t="shared" si="3"/>
        <v>27.069865600571013</v>
      </c>
      <c r="K17">
        <f t="shared" si="7"/>
        <v>-3.922071315328135E-2</v>
      </c>
      <c r="L17">
        <f t="shared" si="8"/>
        <v>9.5571801964235537E-2</v>
      </c>
      <c r="M17">
        <f t="shared" si="9"/>
        <v>7.7397533826282228E-2</v>
      </c>
    </row>
    <row r="18" spans="1:13" x14ac:dyDescent="0.25">
      <c r="A18">
        <v>2007</v>
      </c>
      <c r="B18">
        <v>0.47</v>
      </c>
      <c r="C18">
        <v>25.616767573112444</v>
      </c>
      <c r="D18" s="6">
        <v>621942502600</v>
      </c>
      <c r="E18" s="9">
        <f t="shared" si="4"/>
        <v>-6.0000000000000053E-2</v>
      </c>
      <c r="F18" s="9">
        <f t="shared" si="5"/>
        <v>8.404146513989752E-2</v>
      </c>
      <c r="G18" s="9">
        <f t="shared" si="6"/>
        <v>9.0076508750475792E-2</v>
      </c>
      <c r="H18">
        <f t="shared" si="1"/>
        <v>-0.75502258427803282</v>
      </c>
      <c r="I18">
        <f t="shared" si="2"/>
        <v>3.2432471204022613</v>
      </c>
      <c r="J18">
        <f t="shared" si="3"/>
        <v>27.156113485862953</v>
      </c>
      <c r="K18">
        <f t="shared" si="7"/>
        <v>-6.1875403718087529E-2</v>
      </c>
      <c r="L18">
        <f t="shared" si="8"/>
        <v>8.069615425994181E-2</v>
      </c>
      <c r="M18">
        <f t="shared" si="9"/>
        <v>8.6247885291939497E-2</v>
      </c>
    </row>
    <row r="19" spans="1:13" x14ac:dyDescent="0.25">
      <c r="A19">
        <v>2008</v>
      </c>
      <c r="B19">
        <v>0.45</v>
      </c>
      <c r="C19">
        <v>27.440411520503535</v>
      </c>
      <c r="D19" s="6">
        <v>647176159700</v>
      </c>
      <c r="E19" s="9">
        <f t="shared" si="4"/>
        <v>-4.2553191489361625E-2</v>
      </c>
      <c r="F19" s="9">
        <f t="shared" si="5"/>
        <v>7.1189463783291718E-2</v>
      </c>
      <c r="G19" s="9">
        <f t="shared" si="6"/>
        <v>4.0572331034640641E-2</v>
      </c>
      <c r="H19">
        <f t="shared" si="1"/>
        <v>-0.79850769621777162</v>
      </c>
      <c r="I19">
        <f t="shared" si="2"/>
        <v>3.3120167998481276</v>
      </c>
      <c r="J19">
        <f t="shared" si="3"/>
        <v>27.195884365949187</v>
      </c>
      <c r="K19">
        <f t="shared" si="7"/>
        <v>-4.3485111939738808E-2</v>
      </c>
      <c r="L19">
        <f t="shared" si="8"/>
        <v>6.8769679445866316E-2</v>
      </c>
      <c r="M19">
        <f t="shared" si="9"/>
        <v>3.9770880086233973E-2</v>
      </c>
    </row>
    <row r="20" spans="1:13" x14ac:dyDescent="0.25">
      <c r="A20">
        <v>2009</v>
      </c>
      <c r="B20">
        <v>0.44</v>
      </c>
      <c r="C20">
        <v>29.452635868531296</v>
      </c>
      <c r="D20" s="6">
        <v>608872876400</v>
      </c>
      <c r="E20" s="9">
        <f t="shared" si="4"/>
        <v>-2.222222222222224E-2</v>
      </c>
      <c r="F20" s="9">
        <f t="shared" si="5"/>
        <v>7.3330691360959488E-2</v>
      </c>
      <c r="G20" s="9">
        <f t="shared" si="6"/>
        <v>-5.9185250763494679E-2</v>
      </c>
      <c r="H20">
        <f t="shared" si="1"/>
        <v>-0.82098055206983023</v>
      </c>
      <c r="I20">
        <f t="shared" si="2"/>
        <v>3.3827834092683609</v>
      </c>
      <c r="J20">
        <f t="shared" si="3"/>
        <v>27.134875341323244</v>
      </c>
      <c r="K20">
        <f t="shared" si="7"/>
        <v>-2.2472855852058604E-2</v>
      </c>
      <c r="L20">
        <f t="shared" si="8"/>
        <v>7.0766609420233273E-2</v>
      </c>
      <c r="M20">
        <f t="shared" si="9"/>
        <v>-6.1009024625942487E-2</v>
      </c>
    </row>
    <row r="21" spans="1:13" x14ac:dyDescent="0.25">
      <c r="A21">
        <v>2010</v>
      </c>
      <c r="B21">
        <v>0.43</v>
      </c>
      <c r="C21">
        <v>33.79130733953302</v>
      </c>
      <c r="D21" s="6">
        <v>670523679400</v>
      </c>
      <c r="E21" s="9">
        <f t="shared" si="4"/>
        <v>-2.2727272727272749E-2</v>
      </c>
      <c r="F21" s="9">
        <f t="shared" si="5"/>
        <v>0.14731012498740004</v>
      </c>
      <c r="G21" s="9">
        <f t="shared" si="6"/>
        <v>0.10125398156100229</v>
      </c>
      <c r="H21">
        <f t="shared" si="1"/>
        <v>-0.84397007029452897</v>
      </c>
      <c r="I21">
        <f t="shared" si="2"/>
        <v>3.5202035901089479</v>
      </c>
      <c r="J21">
        <f t="shared" si="3"/>
        <v>27.231324855077361</v>
      </c>
      <c r="K21">
        <f t="shared" si="7"/>
        <v>-2.2989518224698746E-2</v>
      </c>
      <c r="L21">
        <f t="shared" si="8"/>
        <v>0.13742018084058705</v>
      </c>
      <c r="M21">
        <f t="shared" si="9"/>
        <v>9.6449513754116367E-2</v>
      </c>
    </row>
    <row r="22" spans="1:13" x14ac:dyDescent="0.25">
      <c r="A22">
        <v>2011</v>
      </c>
      <c r="B22">
        <v>0.43</v>
      </c>
      <c r="C22">
        <v>38.073884913272785</v>
      </c>
      <c r="D22" s="6">
        <v>710781597200</v>
      </c>
      <c r="E22" s="9">
        <f t="shared" si="4"/>
        <v>0</v>
      </c>
      <c r="F22" s="9">
        <f t="shared" si="5"/>
        <v>0.12673607240787343</v>
      </c>
      <c r="G22" s="9">
        <f t="shared" si="6"/>
        <v>6.0039516928057868E-2</v>
      </c>
      <c r="H22">
        <f t="shared" si="1"/>
        <v>-0.84397007029452897</v>
      </c>
      <c r="I22">
        <f t="shared" si="2"/>
        <v>3.6395286117672776</v>
      </c>
      <c r="J22">
        <f t="shared" si="3"/>
        <v>27.289631042627256</v>
      </c>
      <c r="K22">
        <f t="shared" si="7"/>
        <v>0</v>
      </c>
      <c r="L22">
        <f t="shared" si="8"/>
        <v>0.1193250216583297</v>
      </c>
      <c r="M22">
        <f t="shared" si="9"/>
        <v>5.8306187549895583E-2</v>
      </c>
    </row>
    <row r="23" spans="1:13" x14ac:dyDescent="0.25">
      <c r="A23">
        <v>2012</v>
      </c>
      <c r="B23">
        <v>0.43</v>
      </c>
      <c r="C23">
        <v>43.072108695465118</v>
      </c>
      <c r="D23" s="6">
        <v>703485989500</v>
      </c>
      <c r="E23" s="9">
        <f t="shared" si="4"/>
        <v>0</v>
      </c>
      <c r="F23" s="9">
        <f t="shared" si="5"/>
        <v>0.13127695777768977</v>
      </c>
      <c r="G23" s="9">
        <f t="shared" si="6"/>
        <v>-1.0264204544320976E-2</v>
      </c>
      <c r="H23">
        <f t="shared" si="1"/>
        <v>-0.84397007029452897</v>
      </c>
      <c r="I23">
        <f t="shared" si="2"/>
        <v>3.7628756575950701</v>
      </c>
      <c r="J23">
        <f t="shared" si="3"/>
        <v>27.279313797879656</v>
      </c>
      <c r="K23">
        <f t="shared" si="7"/>
        <v>0</v>
      </c>
      <c r="L23">
        <f t="shared" si="8"/>
        <v>0.12334704582779255</v>
      </c>
      <c r="M23">
        <f t="shared" si="9"/>
        <v>-1.031724474760054E-2</v>
      </c>
    </row>
    <row r="24" spans="1:13" x14ac:dyDescent="0.25">
      <c r="A24">
        <v>2013</v>
      </c>
      <c r="B24">
        <v>0.43</v>
      </c>
      <c r="C24">
        <v>49.430060273717295</v>
      </c>
      <c r="D24" s="6">
        <v>720407105300</v>
      </c>
      <c r="E24" s="9">
        <f t="shared" si="4"/>
        <v>0</v>
      </c>
      <c r="F24" s="9">
        <f t="shared" si="5"/>
        <v>0.14761180194833545</v>
      </c>
      <c r="G24" s="9">
        <f t="shared" si="6"/>
        <v>2.4053237807943662E-2</v>
      </c>
      <c r="H24">
        <f t="shared" si="1"/>
        <v>-0.84397007029452897</v>
      </c>
      <c r="I24">
        <f t="shared" si="2"/>
        <v>3.9005587466933478</v>
      </c>
      <c r="J24">
        <f t="shared" si="3"/>
        <v>27.303082313192355</v>
      </c>
      <c r="K24">
        <f t="shared" si="7"/>
        <v>0</v>
      </c>
      <c r="L24">
        <f t="shared" si="8"/>
        <v>0.13768308909827764</v>
      </c>
      <c r="M24">
        <f t="shared" si="9"/>
        <v>2.3768515312699634E-2</v>
      </c>
    </row>
    <row r="25" spans="1:13" x14ac:dyDescent="0.25">
      <c r="A25">
        <v>2014</v>
      </c>
      <c r="B25">
        <v>0.42</v>
      </c>
      <c r="C25">
        <v>63.403240821703079</v>
      </c>
      <c r="D25" s="6">
        <v>702306046000</v>
      </c>
      <c r="E25" s="9">
        <f t="shared" si="4"/>
        <v>-2.3255813953488393E-2</v>
      </c>
      <c r="F25" s="9">
        <f t="shared" si="5"/>
        <v>0.2826858893274613</v>
      </c>
      <c r="G25" s="9">
        <f t="shared" si="6"/>
        <v>-2.5126153208139379E-2</v>
      </c>
      <c r="H25">
        <f t="shared" si="1"/>
        <v>-0.86750056770472306</v>
      </c>
      <c r="I25">
        <f t="shared" si="2"/>
        <v>4.1495149771983106</v>
      </c>
      <c r="J25">
        <f t="shared" si="3"/>
        <v>27.277635108930944</v>
      </c>
      <c r="K25">
        <f t="shared" si="7"/>
        <v>-2.3530497410194084E-2</v>
      </c>
      <c r="L25">
        <f t="shared" si="8"/>
        <v>0.24895623050496285</v>
      </c>
      <c r="M25">
        <f t="shared" si="9"/>
        <v>-2.5447204261411116E-2</v>
      </c>
    </row>
    <row r="26" spans="1:13" x14ac:dyDescent="0.25">
      <c r="A26">
        <v>2015</v>
      </c>
      <c r="B26">
        <v>0.41</v>
      </c>
      <c r="C26">
        <v>74.301150113689388</v>
      </c>
      <c r="D26" s="6">
        <v>721487146600</v>
      </c>
      <c r="E26" s="9">
        <f t="shared" si="4"/>
        <v>-2.3809523809523832E-2</v>
      </c>
      <c r="F26" s="9">
        <f t="shared" si="5"/>
        <v>0.17188252762398126</v>
      </c>
      <c r="G26" s="9">
        <f t="shared" si="6"/>
        <v>2.7311598282894423E-2</v>
      </c>
      <c r="H26">
        <f t="shared" si="1"/>
        <v>-0.89159811928378363</v>
      </c>
      <c r="I26">
        <f t="shared" si="2"/>
        <v>4.3081264309267819</v>
      </c>
      <c r="J26">
        <f t="shared" si="3"/>
        <v>27.304580400171435</v>
      </c>
      <c r="K26">
        <f t="shared" si="7"/>
        <v>-2.4097551579060572E-2</v>
      </c>
      <c r="L26">
        <f t="shared" si="8"/>
        <v>0.1586114537284713</v>
      </c>
      <c r="M26">
        <f t="shared" si="9"/>
        <v>2.6945291240490832E-2</v>
      </c>
    </row>
    <row r="27" spans="1:13" x14ac:dyDescent="0.25">
      <c r="A27">
        <v>2016</v>
      </c>
      <c r="B27">
        <v>0.42</v>
      </c>
      <c r="C27">
        <v>100</v>
      </c>
      <c r="D27" s="6">
        <v>706477848600</v>
      </c>
      <c r="E27" s="9">
        <f t="shared" si="4"/>
        <v>2.4390243902439046E-2</v>
      </c>
      <c r="F27" s="9">
        <f t="shared" si="5"/>
        <v>0.34587418696734007</v>
      </c>
      <c r="G27" s="9">
        <f t="shared" si="6"/>
        <v>-2.080327843778107E-2</v>
      </c>
      <c r="H27">
        <f t="shared" si="1"/>
        <v>-0.86750056770472306</v>
      </c>
      <c r="I27">
        <f t="shared" si="2"/>
        <v>4.6051701859880918</v>
      </c>
      <c r="J27">
        <f t="shared" si="3"/>
        <v>27.283557684863958</v>
      </c>
      <c r="K27">
        <f t="shared" si="7"/>
        <v>2.4097551579060572E-2</v>
      </c>
      <c r="L27">
        <f t="shared" si="8"/>
        <v>0.29704375506130987</v>
      </c>
      <c r="M27">
        <f t="shared" si="9"/>
        <v>-2.1022715307477569E-2</v>
      </c>
    </row>
    <row r="28" spans="1:13" x14ac:dyDescent="0.25">
      <c r="A28">
        <v>2017</v>
      </c>
      <c r="B28">
        <v>0.43</v>
      </c>
      <c r="C28">
        <v>125.03919999999999</v>
      </c>
      <c r="D28" s="6">
        <v>726389947800</v>
      </c>
      <c r="E28" s="9">
        <f t="shared" si="4"/>
        <v>2.3809523809523832E-2</v>
      </c>
      <c r="F28" s="9">
        <f t="shared" si="5"/>
        <v>0.25039199999999995</v>
      </c>
      <c r="G28" s="9">
        <f t="shared" si="6"/>
        <v>2.8185029777591852E-2</v>
      </c>
      <c r="H28">
        <f t="shared" si="1"/>
        <v>-0.84397007029452897</v>
      </c>
      <c r="I28">
        <f t="shared" si="2"/>
        <v>4.8286272881400993</v>
      </c>
      <c r="J28">
        <f t="shared" si="3"/>
        <v>27.311352825756686</v>
      </c>
      <c r="K28">
        <f t="shared" si="7"/>
        <v>2.3530497410194084E-2</v>
      </c>
      <c r="L28">
        <f t="shared" si="8"/>
        <v>0.22345710215200754</v>
      </c>
      <c r="M28">
        <f t="shared" si="9"/>
        <v>2.7795140892727943E-2</v>
      </c>
    </row>
    <row r="29" spans="1:13" x14ac:dyDescent="0.25">
      <c r="A29">
        <v>2018</v>
      </c>
      <c r="B29">
        <v>0.44</v>
      </c>
      <c r="C29">
        <v>183.93809999999999</v>
      </c>
      <c r="D29" s="6">
        <v>707377443000</v>
      </c>
      <c r="E29" s="9">
        <f t="shared" si="4"/>
        <v>2.3255813953488393E-2</v>
      </c>
      <c r="F29" s="9">
        <f t="shared" si="5"/>
        <v>0.47104348076443237</v>
      </c>
      <c r="G29" s="9">
        <f t="shared" si="6"/>
        <v>-2.6173964628203761E-2</v>
      </c>
      <c r="H29">
        <f t="shared" si="1"/>
        <v>-0.82098055206983023</v>
      </c>
      <c r="I29">
        <f t="shared" si="2"/>
        <v>5.2145992879659451</v>
      </c>
      <c r="J29">
        <f t="shared" si="3"/>
        <v>27.284830226016847</v>
      </c>
      <c r="K29">
        <f t="shared" si="7"/>
        <v>2.2989518224698746E-2</v>
      </c>
      <c r="L29">
        <f t="shared" si="8"/>
        <v>0.38597199982584574</v>
      </c>
      <c r="M29">
        <f t="shared" si="9"/>
        <v>-2.6522599739838171E-2</v>
      </c>
    </row>
    <row r="30" spans="1:13" x14ac:dyDescent="0.25">
      <c r="A30">
        <v>2019</v>
      </c>
      <c r="B30">
        <v>0.45</v>
      </c>
      <c r="C30">
        <v>281.17750000000001</v>
      </c>
      <c r="D30" s="6">
        <v>693223803600</v>
      </c>
      <c r="E30" s="9">
        <f t="shared" si="4"/>
        <v>2.2727272727272749E-2</v>
      </c>
      <c r="F30" s="9">
        <f t="shared" si="5"/>
        <v>0.52865284571276971</v>
      </c>
      <c r="G30" s="9">
        <f t="shared" si="6"/>
        <v>-2.0008610028578455E-2</v>
      </c>
      <c r="H30">
        <f t="shared" si="1"/>
        <v>-0.79850769621777162</v>
      </c>
      <c r="I30">
        <f t="shared" si="2"/>
        <v>5.6389861425104497</v>
      </c>
      <c r="J30">
        <f t="shared" si="3"/>
        <v>27.264618732917285</v>
      </c>
      <c r="K30">
        <f t="shared" si="7"/>
        <v>2.2472855852058604E-2</v>
      </c>
      <c r="L30">
        <f t="shared" si="8"/>
        <v>0.42438685454450464</v>
      </c>
      <c r="M30">
        <f t="shared" si="9"/>
        <v>-2.0211493099562716E-2</v>
      </c>
    </row>
    <row r="31" spans="1:13" x14ac:dyDescent="0.25">
      <c r="A31">
        <v>2020</v>
      </c>
      <c r="B31">
        <v>0.43</v>
      </c>
      <c r="C31">
        <v>377.05070000000001</v>
      </c>
      <c r="D31" s="6">
        <v>624591286200</v>
      </c>
      <c r="E31" s="9">
        <f t="shared" si="4"/>
        <v>-4.4444444444444481E-2</v>
      </c>
      <c r="F31" s="9">
        <f t="shared" si="5"/>
        <v>0.34097038347662956</v>
      </c>
      <c r="G31" s="9">
        <f t="shared" si="6"/>
        <v>-9.9004848136464041E-2</v>
      </c>
      <c r="H31">
        <f t="shared" si="1"/>
        <v>-0.84397007029452897</v>
      </c>
      <c r="I31">
        <f t="shared" si="2"/>
        <v>5.932379661164636</v>
      </c>
      <c r="J31">
        <f t="shared" si="3"/>
        <v>27.160363330689428</v>
      </c>
      <c r="K31">
        <f t="shared" si="7"/>
        <v>-4.546237407675735E-2</v>
      </c>
      <c r="L31">
        <f t="shared" si="8"/>
        <v>0.29339351865418628</v>
      </c>
      <c r="M31">
        <f t="shared" si="9"/>
        <v>-0.10425540222785656</v>
      </c>
    </row>
    <row r="32" spans="1:13" x14ac:dyDescent="0.25">
      <c r="A32">
        <v>2021</v>
      </c>
      <c r="B32">
        <v>0.32700000000000001</v>
      </c>
      <c r="C32">
        <v>570.99810000000002</v>
      </c>
      <c r="D32" s="6">
        <v>689809934000</v>
      </c>
      <c r="E32" s="9">
        <f t="shared" si="4"/>
        <v>-0.23953488372093018</v>
      </c>
      <c r="F32" s="9">
        <f t="shared" si="5"/>
        <v>0.51438016160691391</v>
      </c>
      <c r="G32" s="9">
        <f t="shared" si="6"/>
        <v>0.1044181198825056</v>
      </c>
      <c r="H32">
        <f t="shared" si="1"/>
        <v>-1.1177951080848836</v>
      </c>
      <c r="I32">
        <f t="shared" si="2"/>
        <v>6.3473858821548523</v>
      </c>
      <c r="J32">
        <f t="shared" si="3"/>
        <v>27.259681938621185</v>
      </c>
      <c r="K32">
        <f t="shared" si="7"/>
        <v>-0.27382503779035461</v>
      </c>
      <c r="L32">
        <f t="shared" si="8"/>
        <v>0.41500622099021633</v>
      </c>
      <c r="M32">
        <f t="shared" si="9"/>
        <v>9.9318607931756731E-2</v>
      </c>
    </row>
    <row r="33" spans="1:13" x14ac:dyDescent="0.25">
      <c r="A33">
        <v>2022</v>
      </c>
      <c r="B33">
        <v>0.36599999999999999</v>
      </c>
      <c r="C33">
        <v>1114.5359000000001</v>
      </c>
      <c r="D33" s="6">
        <v>731341633700</v>
      </c>
      <c r="E33" s="9">
        <f t="shared" si="4"/>
        <v>0.1192660550458715</v>
      </c>
      <c r="F33" s="9">
        <f t="shared" si="5"/>
        <v>0.95190824627962867</v>
      </c>
      <c r="G33" s="9">
        <f t="shared" si="6"/>
        <v>6.0207453753485574E-2</v>
      </c>
      <c r="H33">
        <f t="shared" si="1"/>
        <v>-1.0051219455807707</v>
      </c>
      <c r="I33">
        <f t="shared" si="2"/>
        <v>7.0161933640612864</v>
      </c>
      <c r="J33">
        <f t="shared" si="3"/>
        <v>27.318146538684438</v>
      </c>
      <c r="K33">
        <f t="shared" si="7"/>
        <v>0.11267316250411286</v>
      </c>
      <c r="L33">
        <f t="shared" si="8"/>
        <v>0.66880748190643402</v>
      </c>
      <c r="M33">
        <f t="shared" si="9"/>
        <v>5.8464600063253158E-2</v>
      </c>
    </row>
    <row r="34" spans="1:13" x14ac:dyDescent="0.25">
      <c r="A34">
        <v>2023</v>
      </c>
      <c r="B34">
        <v>0.41399999999999998</v>
      </c>
      <c r="C34">
        <v>3456.6426000000001</v>
      </c>
      <c r="D34" s="6">
        <v>717769483200</v>
      </c>
      <c r="E34" s="9">
        <f t="shared" si="4"/>
        <v>0.13114754098360654</v>
      </c>
      <c r="F34" s="9">
        <f t="shared" si="5"/>
        <v>2.1014188058006922</v>
      </c>
      <c r="G34" s="9">
        <f t="shared" si="6"/>
        <v>-1.85578803046339E-2</v>
      </c>
      <c r="H34">
        <f t="shared" si="1"/>
        <v>-0.88188930515682273</v>
      </c>
      <c r="I34">
        <f t="shared" si="2"/>
        <v>8.1480530501397119</v>
      </c>
      <c r="J34">
        <f t="shared" si="3"/>
        <v>27.299414300406756</v>
      </c>
      <c r="K34">
        <f t="shared" si="7"/>
        <v>0.12323264042394799</v>
      </c>
      <c r="L34">
        <f t="shared" si="8"/>
        <v>1.1318596860784256</v>
      </c>
      <c r="M34">
        <f t="shared" si="9"/>
        <v>-1.8732238277682001E-2</v>
      </c>
    </row>
    <row r="35" spans="1:13" x14ac:dyDescent="0.25">
      <c r="A35">
        <v>2024</v>
      </c>
      <c r="B35">
        <v>0.41799999999999998</v>
      </c>
      <c r="C35">
        <v>7678.7745000000004</v>
      </c>
      <c r="D35" s="6">
        <v>708130336300</v>
      </c>
      <c r="E35" s="9">
        <f t="shared" si="4"/>
        <v>9.6618357487922787E-3</v>
      </c>
      <c r="F35" s="9">
        <f t="shared" si="5"/>
        <v>1.221454569818702</v>
      </c>
      <c r="G35" s="9">
        <f t="shared" si="6"/>
        <v>-1.3429307215773845E-2</v>
      </c>
      <c r="H35">
        <f t="shared" si="1"/>
        <v>-0.87227384645738082</v>
      </c>
      <c r="I35">
        <f t="shared" si="2"/>
        <v>8.9462152430965212</v>
      </c>
      <c r="J35">
        <f t="shared" si="3"/>
        <v>27.285894004516706</v>
      </c>
      <c r="K35">
        <f t="shared" si="7"/>
        <v>9.6154586994419144E-3</v>
      </c>
      <c r="L35">
        <f t="shared" si="8"/>
        <v>0.79816219295680924</v>
      </c>
      <c r="M35">
        <f t="shared" si="9"/>
        <v>-1.3520295890049994E-2</v>
      </c>
    </row>
    <row r="36" spans="1:13" x14ac:dyDescent="0.25">
      <c r="A36">
        <v>2025</v>
      </c>
      <c r="B36">
        <v>0.42899999999999999</v>
      </c>
      <c r="C36">
        <v>10115.670700000001</v>
      </c>
      <c r="D36" s="6">
        <v>734331158743.09998</v>
      </c>
      <c r="E36" s="9">
        <f t="shared" si="4"/>
        <v>2.6315789473684233E-2</v>
      </c>
      <c r="F36" s="9">
        <f t="shared" si="5"/>
        <v>0.31735483311822743</v>
      </c>
      <c r="G36" s="9">
        <f t="shared" si="6"/>
        <v>3.6999999999999922E-2</v>
      </c>
      <c r="H36">
        <f t="shared" si="1"/>
        <v>-0.84629836005412007</v>
      </c>
      <c r="I36">
        <f t="shared" si="2"/>
        <v>9.221841054867765</v>
      </c>
      <c r="J36">
        <f t="shared" si="3"/>
        <v>27.322225933764095</v>
      </c>
      <c r="K36">
        <f t="shared" si="7"/>
        <v>2.597548640326075E-2</v>
      </c>
      <c r="L36">
        <f t="shared" si="8"/>
        <v>0.27562581177124379</v>
      </c>
      <c r="M36">
        <f t="shared" si="9"/>
        <v>3.6331929247388928E-2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86D20-F6AB-457C-A188-308852F4CD28}">
  <dimension ref="A1:K36"/>
  <sheetViews>
    <sheetView workbookViewId="0">
      <selection activeCell="F16" sqref="F16"/>
    </sheetView>
  </sheetViews>
  <sheetFormatPr baseColWidth="10" defaultRowHeight="15" x14ac:dyDescent="0.25"/>
  <cols>
    <col min="1" max="1" width="7.85546875" style="2" customWidth="1"/>
    <col min="2" max="2" width="12.85546875" customWidth="1"/>
    <col min="3" max="3" width="18.7109375" customWidth="1"/>
    <col min="4" max="4" width="7.7109375" customWidth="1"/>
    <col min="7" max="7" width="12.42578125" bestFit="1" customWidth="1"/>
  </cols>
  <sheetData>
    <row r="1" spans="1:11" x14ac:dyDescent="0.25">
      <c r="A1" s="17" t="s">
        <v>52</v>
      </c>
      <c r="B1" s="17"/>
      <c r="C1" s="17"/>
      <c r="D1" s="17"/>
      <c r="J1" t="s">
        <v>56</v>
      </c>
      <c r="K1" t="s">
        <v>57</v>
      </c>
    </row>
    <row r="2" spans="1:11" x14ac:dyDescent="0.25">
      <c r="A2" s="13" t="s">
        <v>53</v>
      </c>
      <c r="B2" s="13" t="s">
        <v>36</v>
      </c>
      <c r="C2" s="13" t="s">
        <v>38</v>
      </c>
      <c r="D2" s="13" t="s">
        <v>54</v>
      </c>
      <c r="G2" s="13" t="s">
        <v>55</v>
      </c>
      <c r="H2">
        <f>+AVERAGE(D3:D36)</f>
        <v>-0.50744705882569519</v>
      </c>
      <c r="I2">
        <f>+_xlfn.STDEV.S(D3:D36)</f>
        <v>1.6635018529021017</v>
      </c>
      <c r="J2">
        <f>H2-I2</f>
        <v>-2.1709489117277969</v>
      </c>
      <c r="K2">
        <f>+H2+I2</f>
        <v>1.1560547940764065</v>
      </c>
    </row>
    <row r="3" spans="1:11" x14ac:dyDescent="0.25">
      <c r="A3" s="1" cm="1">
        <f t="array" ref="A3:A36">+informalidad!A3:A36</f>
        <v>1992</v>
      </c>
      <c r="B3" s="14" cm="1">
        <f t="array" ref="B3:B36">+together!E3:E36</f>
        <v>-3.5812672176308576E-2</v>
      </c>
      <c r="C3" s="14" cm="1">
        <f t="array" ref="C3:C36">+together!G3:G36</f>
        <v>7.93729155643077E-2</v>
      </c>
      <c r="D3" s="15">
        <f>+B3/C3</f>
        <v>-0.45119512017034646</v>
      </c>
      <c r="G3" s="16" t="s">
        <v>58</v>
      </c>
      <c r="H3">
        <f>+AVERAGE(D3:D5,D7:D13,D15:D31,D35:D36)</f>
        <v>-0.21702737730204846</v>
      </c>
      <c r="I3">
        <f>+_xlfn.STDEV.S(D3:D5,D7:D13,D15:D31,D35:D36)</f>
        <v>0.72222716178829749</v>
      </c>
      <c r="J3">
        <f>+H3-I3</f>
        <v>-0.93925453909034595</v>
      </c>
      <c r="K3">
        <f>+H3+I3</f>
        <v>0.50519978448624903</v>
      </c>
    </row>
    <row r="4" spans="1:11" x14ac:dyDescent="0.25">
      <c r="A4" s="2">
        <v>1993</v>
      </c>
      <c r="B4" s="14">
        <v>2.2857142857142878E-2</v>
      </c>
      <c r="C4" s="14">
        <v>8.2069790722122837E-2</v>
      </c>
      <c r="D4" s="15">
        <f t="shared" ref="D4:D36" si="0">+B4/C4</f>
        <v>0.27850860415294659</v>
      </c>
    </row>
    <row r="5" spans="1:11" x14ac:dyDescent="0.25">
      <c r="A5" s="2">
        <v>1994</v>
      </c>
      <c r="B5" s="14">
        <v>-8.6592178770949643E-2</v>
      </c>
      <c r="C5" s="14">
        <v>5.8362007036852681E-2</v>
      </c>
      <c r="D5" s="15">
        <f t="shared" si="0"/>
        <v>-1.4837080348568381</v>
      </c>
    </row>
    <row r="6" spans="1:11" x14ac:dyDescent="0.25">
      <c r="A6" s="2">
        <v>1995</v>
      </c>
      <c r="B6" s="14">
        <v>0.13761467889908252</v>
      </c>
      <c r="C6" s="14">
        <v>-2.8452096105707869E-2</v>
      </c>
      <c r="D6" s="15">
        <f t="shared" si="0"/>
        <v>-4.8367149607467823</v>
      </c>
    </row>
    <row r="7" spans="1:11" x14ac:dyDescent="0.25">
      <c r="A7" s="2">
        <v>1996</v>
      </c>
      <c r="B7" s="14">
        <v>6.1827956989247368E-2</v>
      </c>
      <c r="C7" s="14">
        <v>5.5266898271523424E-2</v>
      </c>
      <c r="D7" s="15">
        <f t="shared" si="0"/>
        <v>1.1187158846058232</v>
      </c>
    </row>
    <row r="8" spans="1:11" x14ac:dyDescent="0.25">
      <c r="A8" s="2">
        <v>1997</v>
      </c>
      <c r="B8" s="14">
        <v>3.0379746835442922E-2</v>
      </c>
      <c r="C8" s="14">
        <v>8.1110467707457001E-2</v>
      </c>
      <c r="D8" s="15">
        <f t="shared" si="0"/>
        <v>0.37454779505173436</v>
      </c>
    </row>
    <row r="9" spans="1:11" x14ac:dyDescent="0.25">
      <c r="A9" s="2">
        <v>1998</v>
      </c>
      <c r="B9" s="14">
        <v>2.7027027027027053E-2</v>
      </c>
      <c r="C9" s="14">
        <v>3.8501788515622692E-2</v>
      </c>
      <c r="D9" s="15">
        <f t="shared" si="0"/>
        <v>0.70196809210721267</v>
      </c>
    </row>
    <row r="10" spans="1:11" x14ac:dyDescent="0.25">
      <c r="A10" s="2">
        <v>1999</v>
      </c>
      <c r="B10" s="14">
        <v>7.1770334928229736E-3</v>
      </c>
      <c r="C10" s="14">
        <v>-3.3854570406326889E-2</v>
      </c>
      <c r="D10" s="15">
        <f t="shared" si="0"/>
        <v>-0.21199599955584428</v>
      </c>
    </row>
    <row r="11" spans="1:11" x14ac:dyDescent="0.25">
      <c r="A11" s="2">
        <v>2000</v>
      </c>
      <c r="B11" s="14">
        <v>7.1258907363420491E-3</v>
      </c>
      <c r="C11" s="14">
        <v>-7.8899893905690632E-3</v>
      </c>
      <c r="D11" s="15">
        <f t="shared" si="0"/>
        <v>-0.90315593387991822</v>
      </c>
    </row>
    <row r="12" spans="1:11" x14ac:dyDescent="0.25">
      <c r="A12" s="2">
        <v>2001</v>
      </c>
      <c r="B12" s="14">
        <v>4.7169811320754759E-3</v>
      </c>
      <c r="C12" s="14">
        <v>-4.4088396825855636E-2</v>
      </c>
      <c r="D12" s="15">
        <f t="shared" si="0"/>
        <v>-0.10698917338062977</v>
      </c>
    </row>
    <row r="13" spans="1:11" x14ac:dyDescent="0.25">
      <c r="A13" s="2">
        <v>2002</v>
      </c>
      <c r="B13" s="14">
        <v>0.14084507042253522</v>
      </c>
      <c r="C13" s="14">
        <v>-0.10894484828590278</v>
      </c>
      <c r="D13" s="15">
        <f t="shared" si="0"/>
        <v>-1.2928107445054862</v>
      </c>
    </row>
    <row r="14" spans="1:11" x14ac:dyDescent="0.25">
      <c r="A14" s="2">
        <v>2003</v>
      </c>
      <c r="B14" s="14">
        <v>0.11111111111111122</v>
      </c>
      <c r="C14" s="14">
        <v>8.8370407957692354E-2</v>
      </c>
      <c r="D14" s="15">
        <f t="shared" si="0"/>
        <v>1.2573339161714185</v>
      </c>
    </row>
    <row r="15" spans="1:11" x14ac:dyDescent="0.25">
      <c r="A15" s="2">
        <v>2004</v>
      </c>
      <c r="B15" s="14">
        <v>-1.8518518518518535E-2</v>
      </c>
      <c r="C15" s="14">
        <v>9.029573300681526E-2</v>
      </c>
      <c r="D15" s="15">
        <f t="shared" si="0"/>
        <v>-0.20508741556060917</v>
      </c>
    </row>
    <row r="16" spans="1:11" x14ac:dyDescent="0.25">
      <c r="A16" s="2">
        <v>2005</v>
      </c>
      <c r="B16" s="14">
        <v>-1.8867924528301903E-2</v>
      </c>
      <c r="C16" s="14">
        <v>8.8516599201343693E-2</v>
      </c>
      <c r="D16" s="15">
        <f t="shared" si="0"/>
        <v>-0.21315690727548292</v>
      </c>
    </row>
    <row r="17" spans="1:4" x14ac:dyDescent="0.25">
      <c r="A17" s="2">
        <v>2006</v>
      </c>
      <c r="B17" s="14">
        <v>-3.8461538461538491E-2</v>
      </c>
      <c r="C17" s="14">
        <v>8.0471515004302718E-2</v>
      </c>
      <c r="D17" s="15">
        <f t="shared" si="0"/>
        <v>-0.47795221028810003</v>
      </c>
    </row>
    <row r="18" spans="1:4" x14ac:dyDescent="0.25">
      <c r="A18" s="2">
        <v>2007</v>
      </c>
      <c r="B18" s="14">
        <v>-6.0000000000000053E-2</v>
      </c>
      <c r="C18" s="14">
        <v>9.0076508750475792E-2</v>
      </c>
      <c r="D18" s="15">
        <f t="shared" si="0"/>
        <v>-0.66610041654931618</v>
      </c>
    </row>
    <row r="19" spans="1:4" x14ac:dyDescent="0.25">
      <c r="A19" s="2">
        <v>2008</v>
      </c>
      <c r="B19" s="14">
        <v>-4.2553191489361625E-2</v>
      </c>
      <c r="C19" s="14">
        <v>4.0572331034640641E-2</v>
      </c>
      <c r="D19" s="15">
        <f t="shared" si="0"/>
        <v>-1.048822939284157</v>
      </c>
    </row>
    <row r="20" spans="1:4" x14ac:dyDescent="0.25">
      <c r="A20" s="2">
        <v>2009</v>
      </c>
      <c r="B20" s="14">
        <v>-2.222222222222224E-2</v>
      </c>
      <c r="C20" s="14">
        <v>-5.9185250763494679E-2</v>
      </c>
      <c r="D20" s="15">
        <f t="shared" si="0"/>
        <v>0.37546892064414222</v>
      </c>
    </row>
    <row r="21" spans="1:4" x14ac:dyDescent="0.25">
      <c r="A21" s="2">
        <v>2010</v>
      </c>
      <c r="B21" s="14">
        <v>-2.2727272727272749E-2</v>
      </c>
      <c r="C21" s="14">
        <v>0.10125398156100229</v>
      </c>
      <c r="D21" s="15">
        <f t="shared" si="0"/>
        <v>-0.22445806453132208</v>
      </c>
    </row>
    <row r="22" spans="1:4" x14ac:dyDescent="0.25">
      <c r="A22" s="2">
        <v>2011</v>
      </c>
      <c r="B22" s="14">
        <v>0</v>
      </c>
      <c r="C22" s="14">
        <v>6.0039516928057868E-2</v>
      </c>
      <c r="D22" s="15">
        <f t="shared" si="0"/>
        <v>0</v>
      </c>
    </row>
    <row r="23" spans="1:4" x14ac:dyDescent="0.25">
      <c r="A23" s="2">
        <v>2012</v>
      </c>
      <c r="B23" s="14">
        <v>0</v>
      </c>
      <c r="C23" s="14">
        <v>-1.0264204544320976E-2</v>
      </c>
      <c r="D23" s="15">
        <f t="shared" si="0"/>
        <v>0</v>
      </c>
    </row>
    <row r="24" spans="1:4" x14ac:dyDescent="0.25">
      <c r="A24" s="2">
        <v>2013</v>
      </c>
      <c r="B24" s="14">
        <v>0</v>
      </c>
      <c r="C24" s="14">
        <v>2.4053237807943662E-2</v>
      </c>
      <c r="D24" s="15">
        <f t="shared" si="0"/>
        <v>0</v>
      </c>
    </row>
    <row r="25" spans="1:4" x14ac:dyDescent="0.25">
      <c r="A25" s="2">
        <v>2014</v>
      </c>
      <c r="B25" s="14">
        <v>-2.3255813953488393E-2</v>
      </c>
      <c r="C25" s="14">
        <v>-2.5126153208139379E-2</v>
      </c>
      <c r="D25" s="15">
        <f t="shared" si="0"/>
        <v>0.92556205324557572</v>
      </c>
    </row>
    <row r="26" spans="1:4" x14ac:dyDescent="0.25">
      <c r="A26" s="2">
        <v>2015</v>
      </c>
      <c r="B26" s="14">
        <v>-2.3809523809523832E-2</v>
      </c>
      <c r="C26" s="14">
        <v>2.7311598282894423E-2</v>
      </c>
      <c r="D26" s="15">
        <f t="shared" si="0"/>
        <v>-0.87177336027368335</v>
      </c>
    </row>
    <row r="27" spans="1:4" x14ac:dyDescent="0.25">
      <c r="A27" s="2">
        <v>2016</v>
      </c>
      <c r="B27" s="14">
        <v>2.4390243902439046E-2</v>
      </c>
      <c r="C27" s="14">
        <v>-2.080327843778107E-2</v>
      </c>
      <c r="D27" s="15">
        <f t="shared" si="0"/>
        <v>-1.1724230858797549</v>
      </c>
    </row>
    <row r="28" spans="1:4" x14ac:dyDescent="0.25">
      <c r="A28" s="2">
        <v>2017</v>
      </c>
      <c r="B28" s="14">
        <v>2.3809523809523832E-2</v>
      </c>
      <c r="C28" s="14">
        <v>2.8185029777591852E-2</v>
      </c>
      <c r="D28" s="15">
        <f t="shared" si="0"/>
        <v>0.84475780218807117</v>
      </c>
    </row>
    <row r="29" spans="1:4" x14ac:dyDescent="0.25">
      <c r="A29" s="2">
        <v>2018</v>
      </c>
      <c r="B29" s="14">
        <v>2.3255813953488393E-2</v>
      </c>
      <c r="C29" s="14">
        <v>-2.6173964628203761E-2</v>
      </c>
      <c r="D29" s="15">
        <f t="shared" si="0"/>
        <v>-0.88850941322160593</v>
      </c>
    </row>
    <row r="30" spans="1:4" x14ac:dyDescent="0.25">
      <c r="A30" s="2">
        <v>2019</v>
      </c>
      <c r="B30" s="14">
        <v>2.2727272727272749E-2</v>
      </c>
      <c r="C30" s="14">
        <v>-2.0008610028578455E-2</v>
      </c>
      <c r="D30" s="15">
        <f t="shared" si="0"/>
        <v>-1.1358746407077356</v>
      </c>
    </row>
    <row r="31" spans="1:4" x14ac:dyDescent="0.25">
      <c r="A31" s="2">
        <v>2020</v>
      </c>
      <c r="B31" s="14">
        <v>-4.4444444444444481E-2</v>
      </c>
      <c r="C31" s="14">
        <v>-9.9004848136464041E-2</v>
      </c>
      <c r="D31" s="15">
        <f t="shared" si="0"/>
        <v>0.4489117985735826</v>
      </c>
    </row>
    <row r="32" spans="1:4" x14ac:dyDescent="0.25">
      <c r="A32" s="2">
        <v>2021</v>
      </c>
      <c r="B32" s="14">
        <v>-0.23953488372093018</v>
      </c>
      <c r="C32" s="14">
        <v>0.1044181198825056</v>
      </c>
      <c r="D32" s="15">
        <f t="shared" si="0"/>
        <v>-2.2939972869695606</v>
      </c>
    </row>
    <row r="33" spans="1:4" x14ac:dyDescent="0.25">
      <c r="A33" s="2">
        <v>2022</v>
      </c>
      <c r="B33" s="14">
        <v>0.1192660550458715</v>
      </c>
      <c r="C33" s="14">
        <v>6.0207453753485574E-2</v>
      </c>
      <c r="D33" s="15">
        <f t="shared" si="0"/>
        <v>1.9809184346874469</v>
      </c>
    </row>
    <row r="34" spans="1:4" x14ac:dyDescent="0.25">
      <c r="A34" s="2">
        <v>2023</v>
      </c>
      <c r="B34" s="14">
        <v>0.13114754098360654</v>
      </c>
      <c r="C34" s="14">
        <v>-1.85578803046339E-2</v>
      </c>
      <c r="D34" s="15">
        <f t="shared" si="0"/>
        <v>-7.0669461614567597</v>
      </c>
    </row>
    <row r="35" spans="1:4" x14ac:dyDescent="0.25">
      <c r="A35" s="2">
        <v>2024</v>
      </c>
      <c r="B35" s="14">
        <v>9.6618357487922787E-3</v>
      </c>
      <c r="C35" s="14">
        <v>-1.3429307215773845E-2</v>
      </c>
      <c r="D35" s="15">
        <f t="shared" si="0"/>
        <v>-0.71945898575048195</v>
      </c>
    </row>
    <row r="36" spans="1:4" x14ac:dyDescent="0.25">
      <c r="A36" s="2">
        <v>2025</v>
      </c>
      <c r="B36" s="14">
        <v>2.6315789473684233E-2</v>
      </c>
      <c r="C36" s="14">
        <v>3.6999999999999922E-2</v>
      </c>
      <c r="D36" s="15">
        <f t="shared" si="0"/>
        <v>0.71123755334281857</v>
      </c>
    </row>
  </sheetData>
  <mergeCells count="1">
    <mergeCell ref="A1:D1"/>
  </mergeCells>
  <conditionalFormatting sqref="D3:D36">
    <cfRule type="cellIs" dxfId="0" priority="1" operator="notBetween">
      <formula>$J$2</formula>
      <formula>$K$2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2C1AD-31A1-41BB-BD7F-8FB31FB0E62E}">
  <dimension ref="A1:C13"/>
  <sheetViews>
    <sheetView workbookViewId="0">
      <selection activeCell="B20" sqref="B20"/>
    </sheetView>
  </sheetViews>
  <sheetFormatPr baseColWidth="10" defaultRowHeight="15" x14ac:dyDescent="0.25"/>
  <cols>
    <col min="1" max="1" width="16.42578125" bestFit="1" customWidth="1"/>
    <col min="2" max="2" width="14.42578125" bestFit="1" customWidth="1"/>
  </cols>
  <sheetData>
    <row r="1" spans="1:3" x14ac:dyDescent="0.25">
      <c r="A1" s="1" t="s">
        <v>45</v>
      </c>
      <c r="B1" s="1" t="s">
        <v>46</v>
      </c>
    </row>
    <row r="2" spans="1:3" x14ac:dyDescent="0.25">
      <c r="A2" t="str" cm="1">
        <f t="array" ref="A2:A13">+TRANSPOSE(together!B1:M1)</f>
        <v>tasa_informalidad</v>
      </c>
      <c r="B2" t="s">
        <v>47</v>
      </c>
      <c r="C2" s="1" t="str">
        <f>+IF(B2="NO","I(1)","I(0)")</f>
        <v>I(1)</v>
      </c>
    </row>
    <row r="3" spans="1:3" x14ac:dyDescent="0.25">
      <c r="A3" t="str">
        <v>ipc</v>
      </c>
      <c r="B3" t="s">
        <v>47</v>
      </c>
      <c r="C3" s="1" t="str">
        <f>+IF(B3="NO","I(1)","I(0)")</f>
        <v>I(1)</v>
      </c>
    </row>
    <row r="4" spans="1:3" x14ac:dyDescent="0.25">
      <c r="A4" t="str">
        <v>pbi_constante</v>
      </c>
      <c r="B4" t="s">
        <v>47</v>
      </c>
      <c r="C4" s="1" t="str">
        <f t="shared" ref="C4:C13" si="0">+IF(B4="NO","I(1)","I(0)")</f>
        <v>I(1)</v>
      </c>
    </row>
    <row r="5" spans="1:3" x14ac:dyDescent="0.25">
      <c r="A5" t="str">
        <v>var_infor</v>
      </c>
      <c r="B5" t="s">
        <v>48</v>
      </c>
      <c r="C5" s="1" t="str">
        <f t="shared" si="0"/>
        <v>I(0)</v>
      </c>
    </row>
    <row r="6" spans="1:3" x14ac:dyDescent="0.25">
      <c r="A6" t="str">
        <v>var_ipc</v>
      </c>
      <c r="B6" t="s">
        <v>47</v>
      </c>
      <c r="C6" s="1" t="str">
        <f t="shared" si="0"/>
        <v>I(1)</v>
      </c>
    </row>
    <row r="7" spans="1:3" x14ac:dyDescent="0.25">
      <c r="A7" t="str">
        <v>var_pbi</v>
      </c>
      <c r="B7" t="s">
        <v>48</v>
      </c>
      <c r="C7" s="1" t="str">
        <f t="shared" si="0"/>
        <v>I(0)</v>
      </c>
    </row>
    <row r="8" spans="1:3" x14ac:dyDescent="0.25">
      <c r="A8" t="str">
        <v>ln_infor</v>
      </c>
      <c r="B8" t="s">
        <v>47</v>
      </c>
      <c r="C8" s="1" t="str">
        <f t="shared" si="0"/>
        <v>I(1)</v>
      </c>
    </row>
    <row r="9" spans="1:3" x14ac:dyDescent="0.25">
      <c r="A9" t="str">
        <v>ln_ipc</v>
      </c>
      <c r="B9" t="s">
        <v>47</v>
      </c>
      <c r="C9" s="1" t="str">
        <f t="shared" si="0"/>
        <v>I(1)</v>
      </c>
    </row>
    <row r="10" spans="1:3" x14ac:dyDescent="0.25">
      <c r="A10" t="str">
        <v>ln_pbi</v>
      </c>
      <c r="B10" t="s">
        <v>47</v>
      </c>
      <c r="C10" s="1" t="str">
        <f t="shared" si="0"/>
        <v>I(1)</v>
      </c>
    </row>
    <row r="11" spans="1:3" x14ac:dyDescent="0.25">
      <c r="A11" t="str">
        <v>dif_log_infor</v>
      </c>
      <c r="B11" t="s">
        <v>48</v>
      </c>
      <c r="C11" s="1" t="str">
        <f t="shared" si="0"/>
        <v>I(0)</v>
      </c>
    </row>
    <row r="12" spans="1:3" x14ac:dyDescent="0.25">
      <c r="A12" t="str">
        <v>dif_log_ipc</v>
      </c>
      <c r="B12" t="s">
        <v>48</v>
      </c>
      <c r="C12" s="1" t="str">
        <f t="shared" si="0"/>
        <v>I(0)</v>
      </c>
    </row>
    <row r="13" spans="1:3" x14ac:dyDescent="0.25">
      <c r="A13" t="str">
        <v>dif_log_pbi</v>
      </c>
      <c r="B13" t="s">
        <v>48</v>
      </c>
      <c r="C13" s="1" t="str">
        <f t="shared" si="0"/>
        <v>I(0)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informalidad</vt:lpstr>
      <vt:lpstr>ipc</vt:lpstr>
      <vt:lpstr>pbi</vt:lpstr>
      <vt:lpstr>together</vt:lpstr>
      <vt:lpstr>elas_infor_pbi</vt:lpstr>
      <vt:lpstr>var_condicion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Josefina María Esnaola Borbore</dc:creator>
  <cp:lastModifiedBy>Josefina María Esnaola Borbore</cp:lastModifiedBy>
  <dcterms:created xsi:type="dcterms:W3CDTF">2026-04-22T19:34:01Z</dcterms:created>
  <dcterms:modified xsi:type="dcterms:W3CDTF">2026-05-05T21:31:11Z</dcterms:modified>
</cp:coreProperties>
</file>